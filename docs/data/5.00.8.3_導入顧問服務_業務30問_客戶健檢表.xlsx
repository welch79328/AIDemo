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客戶健檢表_30問" sheetId="1" r:id="rId5"/>
    <sheet state="hidden" name="多元迴歸公司與導入時間研究＿測試" sheetId="2" r:id="rId6"/>
    <sheet state="hidden" name="測試結果" sheetId="3" r:id="rId7"/>
    <sheet state="visible" name="02 客戶健檢表_一訪" sheetId="4" r:id="rId8"/>
    <sheet state="visible" name="0219 分類問題串" sheetId="5" r:id="rId9"/>
    <sheet state="visible" name="0219 分工" sheetId="6" r:id="rId10"/>
    <sheet state="visible" name="0219模組簡易分類_1 (開發票類型)" sheetId="7" r:id="rId11"/>
    <sheet state="visible" name="組織架構複雜度問題串" sheetId="8" r:id="rId12"/>
    <sheet state="visible" name="公司數位化程度問題串" sheetId="9" r:id="rId13"/>
    <sheet state="visible" name="導入成功KPIs" sheetId="10" r:id="rId14"/>
    <sheet state="visible" name="公司業態問題串" sheetId="11" r:id="rId15"/>
    <sheet state="visible" name="公司與導入時間研究" sheetId="12" r:id="rId16"/>
  </sheets>
  <definedNames>
    <definedName hidden="1" localSheetId="1" name="_xlnm._FilterDatabase">'多元迴歸公司與導入時間研究＿測試'!$A$1:$M$29</definedName>
    <definedName hidden="1" localSheetId="11" name="_xlnm._FilterDatabase">'公司與導入時間研究'!$A$1:$M$114</definedName>
  </definedNames>
  <calcPr/>
</workbook>
</file>

<file path=xl/sharedStrings.xml><?xml version="1.0" encoding="utf-8"?>
<sst xmlns="http://schemas.openxmlformats.org/spreadsheetml/2006/main" count="2016" uniqueCount="903">
  <si>
    <t>一訪</t>
  </si>
  <si>
    <t>二訪</t>
  </si>
  <si>
    <t>數量</t>
  </si>
  <si>
    <t>A 公司(/個人) 基本資料</t>
  </si>
  <si>
    <t>B 物件狀態</t>
  </si>
  <si>
    <t>B (未來)發展方向/目標</t>
  </si>
  <si>
    <t>C (現況) 經營狀態</t>
  </si>
  <si>
    <t>D 客戶數位化程度</t>
  </si>
  <si>
    <t>D 影響客戶決策點</t>
  </si>
  <si>
    <t>肉搜為主</t>
  </si>
  <si>
    <t>Google Form</t>
  </si>
  <si>
    <t>必</t>
  </si>
  <si>
    <t>公司官網 FB 網站：</t>
  </si>
  <si>
    <t xml:space="preserve">N
Y, link: </t>
  </si>
  <si>
    <t>物件比例(包租 代管)</t>
  </si>
  <si>
    <t>我們系統可以自動產生合約，你們是以包租還是代管為主？</t>
  </si>
  <si>
    <t>是否有規劃擴大營運嗎？(或著即將有新接案場)</t>
  </si>
  <si>
    <t>if yes, AA客戶</t>
  </si>
  <si>
    <t>公司組織人力數據(會計 業務 經理 )</t>
  </si>
  <si>
    <t>現在總戶數大概？公司總人數？人員怎麼分工的？</t>
  </si>
  <si>
    <t>是否有會計部門?幾個人</t>
  </si>
  <si>
    <t>客戶目前的競品(相同性質)</t>
  </si>
  <si>
    <t>有了解過其他系統嗎？(飛豬、DDROOM、包管家)</t>
  </si>
  <si>
    <t>是否有用LINE個人/ LINE OA 管理租客</t>
  </si>
  <si>
    <t>No/ LINE個人/ LINE OA</t>
  </si>
  <si>
    <t>客戶的案場規劃</t>
  </si>
  <si>
    <t xml:space="preserve">a共生宅/ b套雅房/ c整層/ d透套/ e共享辦公室&amp;商務中心 </t>
  </si>
  <si>
    <t>公司/決策者之目標</t>
  </si>
  <si>
    <t>戶數增加/ 人員異動/ 人力減少</t>
  </si>
  <si>
    <t>(金流) 公司帳務方式(紙本 系統 外包會計人員)</t>
  </si>
  <si>
    <t>代管：可以問是否統一由公司先收帳？
你們都怎麼收帳？有在使用虛擬帳戶嗎？是使用固定還是變動帳號？
都由誰負責催款是秘書還是業務？是否有系統協助彙整帳單資料？</t>
  </si>
  <si>
    <t>公司作業方式(紙本 系統 )/ 是否有用其他協力系統?</t>
  </si>
  <si>
    <t>你們現在是用傳統 word,excel整理客戶資料跟製作合約嗎？</t>
  </si>
  <si>
    <t>公司/ 品牌名稱：</t>
  </si>
  <si>
    <t>公司分布地點
(分布 總部)</t>
  </si>
  <si>
    <t>你們有經營其他縣市的物件嗎？(是否都要到現場抄表)
你們物件都分布在哪些區域呢？</t>
  </si>
  <si>
    <t>Nice</t>
  </si>
  <si>
    <t>客戶設備的需求量(新案場導入 舊案場更新)</t>
  </si>
  <si>
    <t>(代管) 大房東數量</t>
  </si>
  <si>
    <t>你們現在需要同時跟幾位屋主回報？是否每個月需要製作損益表給大房東?
if yes, AA客戶</t>
  </si>
  <si>
    <t>是否有自己的官網 (是否有興趣花5000元製作一個形象官網，可以5種套版選一種)</t>
  </si>
  <si>
    <t>公司/個人 經營階段：</t>
  </si>
  <si>
    <t>a個人戶/ b要準備成立公司/ c剛成立公司/ d物件量增加想數位升級</t>
  </si>
  <si>
    <t>是否有經營社宅</t>
  </si>
  <si>
    <t>是否有使用智能設備(電子鎖 攝影機 電表 )</t>
  </si>
  <si>
    <t>(包租) 是否大部分是包租物件? 每個月需要製作 "差額發票"</t>
  </si>
  <si>
    <t>(如果有100-200戶以上) if yes, AA客戶</t>
  </si>
  <si>
    <t>公司老闆/集團背景：
(當初怎麼會想經營包租代管這個行業？)</t>
  </si>
  <si>
    <t>a仲介/ b建設/ c家族or集團 / d室內裝修或工程/ e純包租代管or老闆創業 / f旅館短租起家/  g協槓兼職</t>
  </si>
  <si>
    <t>客戶目前的難題，最優先想解決之痛點</t>
  </si>
  <si>
    <t>你們有希望系統化可以協助解決甚麼問題嗎？
你們客戶都是同一天收款嗎？</t>
  </si>
  <si>
    <t>(租客) 取向(高資產 中資產 低資產 類型)</t>
  </si>
  <si>
    <t>最喜歡經營哪種租客？
(可以從租金行情、房型延伸)</t>
  </si>
  <si>
    <t>LINE 拉群/ 唐三藏：</t>
  </si>
  <si>
    <t>Y/N</t>
  </si>
  <si>
    <t>google form link (by Jet)</t>
  </si>
  <si>
    <t>(租客) 是否有外籍租客?</t>
  </si>
  <si>
    <t>公司決策人員：</t>
  </si>
  <si>
    <t>Sheet2: 02 客戶健檢表_一訪</t>
  </si>
  <si>
    <t>客戶是否有加入公會</t>
  </si>
  <si>
    <t>判斷客戶經營的成熟度</t>
  </si>
  <si>
    <t>公司決策人員聯絡資訊：</t>
  </si>
  <si>
    <t>客戶有無其他合作對象(裝潢 清潔 水電)</t>
  </si>
  <si>
    <t>介紹完修繕系統_你們修繕都自己另外找嗎？還是有固定配合？</t>
  </si>
  <si>
    <t>if 公司, 資本額：</t>
  </si>
  <si>
    <t>客戶對於市場的想法(為何會踏入包租代管的想法)</t>
  </si>
  <si>
    <t>你們當初有去上過包租實戰課程嗎？還是都自己摸索？為何踏入包租代管？</t>
  </si>
  <si>
    <t>公司/個人 創立時間：</t>
  </si>
  <si>
    <t>客戶喜好的業者(共同的第三方)</t>
  </si>
  <si>
    <t>你們平常會跟公會往來嗎？
可以舉同類型的競品</t>
  </si>
  <si>
    <t>該公司營運數據(收益 利潤 成本 開銷 )</t>
  </si>
  <si>
    <t>仲介：現在收滿1.5個月的服務費會遇到甚麼額外要求嗎？
包租：昨天客戶提到平均抓大概10000的利差，以你們來看這是容易的嗎？
        平均單一房源的租金大約多少？
代管：你們大概都收多少%的代管費？</t>
  </si>
  <si>
    <t>訂閱起始年份</t>
  </si>
  <si>
    <t>客戶
編號</t>
  </si>
  <si>
    <t>客戶品牌名</t>
  </si>
  <si>
    <t>國家</t>
  </si>
  <si>
    <t>主要經營地區</t>
  </si>
  <si>
    <t>客戶類型</t>
  </si>
  <si>
    <t>客戶業態</t>
  </si>
  <si>
    <t>主責業務</t>
  </si>
  <si>
    <t>訂閱戶數</t>
  </si>
  <si>
    <t>組織架構複雜度</t>
  </si>
  <si>
    <t>數位化程度(1~100)</t>
  </si>
  <si>
    <t>導入成功所需時間(月)</t>
  </si>
  <si>
    <t>Peter預估數位化程度（未填表）</t>
  </si>
  <si>
    <t>2020</t>
  </si>
  <si>
    <t>半伴</t>
  </si>
  <si>
    <t>台灣</t>
  </si>
  <si>
    <t>C.包租+代管</t>
  </si>
  <si>
    <t>Peter</t>
  </si>
  <si>
    <t>好生活</t>
  </si>
  <si>
    <t>2021</t>
  </si>
  <si>
    <t>康厝</t>
  </si>
  <si>
    <t>2022</t>
  </si>
  <si>
    <t>優笠發企業股份有限公司 (UDIFA)</t>
  </si>
  <si>
    <t>F.自有資產</t>
  </si>
  <si>
    <t>來客資產管理股份有限公司</t>
  </si>
  <si>
    <t>2023</t>
  </si>
  <si>
    <t>心巢房屋</t>
  </si>
  <si>
    <t>慶陞國際股份有限公司</t>
  </si>
  <si>
    <t>D.自有資產+包租</t>
  </si>
  <si>
    <t>李偉德(100)</t>
  </si>
  <si>
    <t>台中</t>
  </si>
  <si>
    <t>F. 個人資產</t>
  </si>
  <si>
    <t>一方生活(秀家企業股份有限公司)</t>
  </si>
  <si>
    <t>台北</t>
  </si>
  <si>
    <t>B. 包租代管</t>
  </si>
  <si>
    <t>A.純包租</t>
  </si>
  <si>
    <t>聚叡物業管理顧問有限公司(租窩)</t>
  </si>
  <si>
    <t>G.仲介+代管</t>
  </si>
  <si>
    <t>侘藝資產管理有限公司</t>
  </si>
  <si>
    <t>南普建設股份有限公司</t>
  </si>
  <si>
    <t>2024</t>
  </si>
  <si>
    <t>iNest(Tracy),(轉介紹_瘋理財)</t>
  </si>
  <si>
    <t>B. 包租代管-裝修</t>
  </si>
  <si>
    <t>B.純代管</t>
  </si>
  <si>
    <t>Transparent property management</t>
  </si>
  <si>
    <t xml:space="preserve">英國 </t>
  </si>
  <si>
    <t>阿聯酋_阿布達比</t>
  </si>
  <si>
    <t>2024008601</t>
  </si>
  <si>
    <t>富喬物業</t>
  </si>
  <si>
    <t>2024008303</t>
  </si>
  <si>
    <t>小日常物業</t>
  </si>
  <si>
    <t>台中_西屯區</t>
  </si>
  <si>
    <t>2024008403</t>
  </si>
  <si>
    <t>增安居有限公司(易聚)</t>
  </si>
  <si>
    <t>大富投資顧問有限公司(大橙拓展)</t>
  </si>
  <si>
    <t xml:space="preserve">B. 包租代管 </t>
  </si>
  <si>
    <t>侑家有限公司</t>
  </si>
  <si>
    <t>嘉義</t>
  </si>
  <si>
    <t>D. 仲介-地方</t>
  </si>
  <si>
    <t>黃禾文化創意有限公司</t>
  </si>
  <si>
    <t>50</t>
  </si>
  <si>
    <t>天宇資產管理有限公司</t>
  </si>
  <si>
    <t>新竹_竹北</t>
  </si>
  <si>
    <t>I. 資產公司</t>
  </si>
  <si>
    <t>辛旺國際實業股份有限公司</t>
  </si>
  <si>
    <t>嘉義_太保</t>
  </si>
  <si>
    <t>2024008201</t>
  </si>
  <si>
    <t>黃啟豪(笠源科技股份有限公司)</t>
  </si>
  <si>
    <t>台北_北投</t>
  </si>
  <si>
    <t>H.其他</t>
  </si>
  <si>
    <t>喬斯(麥爾物業)</t>
  </si>
  <si>
    <t>台南</t>
  </si>
  <si>
    <t>2025</t>
  </si>
  <si>
    <t>誠家地產</t>
  </si>
  <si>
    <t>台中市區</t>
  </si>
  <si>
    <t>海樂家居</t>
  </si>
  <si>
    <t>台南_永康</t>
  </si>
  <si>
    <t>麒家不動產有限公司</t>
  </si>
  <si>
    <t>已完成</t>
  </si>
  <si>
    <t>我可紅股份有限公司</t>
  </si>
  <si>
    <t>新竹</t>
  </si>
  <si>
    <t>📌 1. 是否可進行分析？是否缺少資料？</t>
  </si>
  <si>
    <t>可以進行分析，但需要補充部分資料：</t>
  </si>
  <si>
    <t>部分數據缺失：</t>
  </si>
  <si>
    <t>「組織架構複雜度」有 NaN（缺失值）</t>
  </si>
  <si>
    <t>「數位化程度」有 NaN（缺失值）</t>
  </si>
  <si>
    <t>「導入成功所需時間（月）」也有部分缺失</t>
  </si>
  <si>
    <t>必要變數已具備：</t>
  </si>
  <si>
    <t>組織架構複雜度（獨立變數 X1）</t>
  </si>
  <si>
    <t>數位化程度（獨立變數 X2）</t>
  </si>
  <si>
    <t>導入成功所需時間（月）（依變數 Y）</t>
  </si>
  <si>
    <t>🛠 解決方案：</t>
  </si>
  <si>
    <t>確認是否有客戶未填答的數據（組織架構複雜度 &amp; 數位化程度）</t>
  </si>
  <si>
    <t>補齊數據（可能使用均值填補，或刪除空值資料）</t>
  </si>
  <si>
    <t>進行多元迴歸分析，找出關聯性</t>
  </si>
  <si>
    <t>📌 2. 進行多元迴歸分析</t>
  </si>
  <si>
    <t>我們將：</t>
  </si>
  <si>
    <t>組織架構複雜度 和 數位化程度 作為 自變數（X）</t>
  </si>
  <si>
    <t>導入成功所需時間（月） 作為 因變數（Y）</t>
  </si>
  <si>
    <t>進行 線性回歸分析，找出影響 SaaS 導入時間的關鍵因子。</t>
  </si>
  <si>
    <t>📌 3. 分析結果與 Insight</t>
  </si>
  <si>
    <t>🔍 回歸模型結果：</t>
  </si>
  <si>
    <t>組織架構複雜度的影響（+0.0596）：</t>
  </si>
  <si>
    <t>組織架構越複雜，導入時間越長（正相關）</t>
  </si>
  <si>
    <t>每增加 1 個「組織架構複雜度」評分，導入時間平均增加 0.0596 個月</t>
  </si>
  <si>
    <t>數位化程度的影響（-0.1512）：</t>
  </si>
  <si>
    <t>數位化程度越高，導入時間越短（負相關）</t>
  </si>
  <si>
    <t>每增加 1 個「數位化程度」評分，導入時間平均減少 0.1512 個月</t>
  </si>
  <si>
    <t>截距項（11.75）：</t>
  </si>
  <si>
    <t>若「組織架構複雜度」與「數位化程度」皆為 0，預測導入時間為 約 11.75 個月</t>
  </si>
  <si>
    <t>模型解釋度（R² = 0.4939）：</t>
  </si>
  <si>
    <t>約 49.39% 的導入時間變異 可用「組織架構複雜度」與「數位化程度」解釋</t>
  </si>
  <si>
    <t>表示這兩個變數 具有中等程度影響，但可能還有其他關鍵因子影響導入時間（如業態、決策流程）</t>
  </si>
  <si>
    <t>📌 4. 可行的 Insights</t>
  </si>
  <si>
    <t>1️⃣ 組織架構複雜度越高，導入時間增加</t>
  </si>
  <si>
    <t>企業內部決策流程多、員工數量大、跨國經營 → 導致導入時間變長</t>
  </si>
  <si>
    <t>建議：針對「高組織複雜度」的客戶 事先制定導入 SOP，減少組織內部阻力</t>
  </si>
  <si>
    <t>2️⃣ 數位化程度越高，導入時間縮短</t>
  </si>
  <si>
    <t>已有 ERP、SaaS 相關經驗的公司 → 更快適應新系統</t>
  </si>
  <si>
    <t>建議：在銷售階段 評估客戶的數位成熟度，對低數位化客戶提供 前期培訓</t>
  </si>
  <si>
    <t>3️⃣ R² 只有 0.49，代表仍有未考慮的變數</t>
  </si>
  <si>
    <t>可能的影響因素：</t>
  </si>
  <si>
    <t>業態（共生公寓 vs. 商辦 vs. 代管）</t>
  </si>
  <si>
    <t>決策流程（採購時間長短）</t>
  </si>
  <si>
    <t>建議：納入「業態類型」「決策流程長度」變數，提升模型準確度</t>
  </si>
  <si>
    <t>📌 5. 下一步建議</t>
  </si>
  <si>
    <t>💡 若要提升模型準確度，可以補充以下資料：</t>
  </si>
  <si>
    <t>客戶決策時間（從購買到正式導入的時間）</t>
  </si>
  <si>
    <t>業態類型（如共生公寓 vs. 代管 vs. 商辦）</t>
  </si>
  <si>
    <t>內部 IT 人員數量（有無技術團隊影響導入難度）</t>
  </si>
  <si>
    <t>🚀 你要我幫你補充這些變數，或重新調整回歸模型嗎？ 🎯</t>
  </si>
  <si>
    <t>📌 多元迴歸研究步驟</t>
  </si>
  <si>
    <t>你希望透過 多元迴歸分析 來探討 「組織架構複雜度」、「數位化程度」 與 「導入成功所需時間（月）」 的關聯性。</t>
  </si>
  <si>
    <t>下面是完整的多元迴歸研究步驟，以及你目前的 資料採集狀況解析。</t>
  </si>
  <si>
    <t>🔹 Step 1：確立研究問題</t>
  </si>
  <si>
    <t>研究問題：</t>
  </si>
  <si>
    <t>➡ 哪些因素影響企業成功導入 SaaS 的時間？</t>
  </si>
  <si>
    <t>研究假設（H1、H2）： 1️⃣ H1：「組織架構越複雜，導入 SaaS 所需時間越長」</t>
  </si>
  <si>
    <t>2️⃣ H2：「數位化程度越高，導入 SaaS 所需時間越短」</t>
  </si>
  <si>
    <t>➡ 透過多元迴歸分析，驗證這兩個變數是否顯著影響 SaaS 導入時間。</t>
  </si>
  <si>
    <t>🔹 Step 2：定義變數</t>
  </si>
  <si>
    <t>多元迴歸的公式：</t>
  </si>
  <si>
    <t>其中：</t>
  </si>
  <si>
    <t>Y（因變數） = 導入成功所需時間（月）</t>
  </si>
  <si>
    <t>X₁（自變數） = 組織架構複雜度</t>
  </si>
  <si>
    <t>X₂（自變數） = 數位化程度</t>
  </si>
  <si>
    <t>β₀（截距） = 當 X₁ 和 X₂ 為 0 時，Y 的預測值</t>
  </si>
  <si>
    <t>β₁、β₂（迴歸係數） = 代表 X₁、X₂ 對 Y 的影響程度</t>
  </si>
  <si>
    <t>ε（誤差項） = 其他未考慮的影響因素</t>
  </si>
  <si>
    <t>🔹 Step 3：收集數據（你的資料採集解析）</t>
  </si>
  <si>
    <t>✅ 你已經完成的數據採集</t>
  </si>
  <si>
    <t>📌 （1）組織架構複雜度（X₁）</t>
  </si>
  <si>
    <t>✔ 問卷收集 企業組織結構資訊，如：</t>
  </si>
  <si>
    <t>管理物件數量</t>
  </si>
  <si>
    <t>公司員工數</t>
  </si>
  <si>
    <t>內勤 vs 外勤人員比例</t>
  </si>
  <si>
    <t>是否跨區/跨國經營</t>
  </si>
  <si>
    <t>決策流程層級</t>
  </si>
  <si>
    <t>➡ 這些因素被量化為「組織架構複雜度分數」（已整理成單一數值）</t>
  </si>
  <si>
    <t>📌 （2）數位化程度（X₂）</t>
  </si>
  <si>
    <t>✔ 問卷收集 企業數位能力，如：</t>
  </si>
  <si>
    <t>ERP / SaaS 使用經驗</t>
  </si>
  <si>
    <t>IT 部門人數</t>
  </si>
  <si>
    <t>自動化工具使用率</t>
  </si>
  <si>
    <t>數據管理方式</t>
  </si>
  <si>
    <t>數位轉型戰略</t>
  </si>
  <si>
    <t>➡ 這些因素被量化為「數位化程度分數（1~100）」（已整理成單一數值）</t>
  </si>
  <si>
    <t>📌 （3）導入成功所需時間（月）（Y）</t>
  </si>
  <si>
    <t>✔ 由導入顧問回填：</t>
  </si>
  <si>
    <t>從簽約到客戶能獨立使用系統的時間</t>
  </si>
  <si>
    <t>客戶是否需要額外輔導</t>
  </si>
  <si>
    <t>是否出現導入延誤</t>
  </si>
  <si>
    <t>➡ 這些數據被整理為「導入成功所需時間（月）」（已具備）</t>
  </si>
  <si>
    <t>🔹 Step 4：資料清理 &amp; 預處理</t>
  </si>
  <si>
    <t>你已經： ✅ 刪除缺失值（NaN），確保迴歸模型可以順利執行</t>
  </si>
  <si>
    <t>✅ 確保變數數值化（組織架構 &amp; 數位化程度已轉換成數字）</t>
  </si>
  <si>
    <t>可進一步優化： 💡 新增影響變數</t>
  </si>
  <si>
    <t>業態類型（住宅 vs. 商辦 vs. 代管）</t>
  </si>
  <si>
    <t>決策時間（採購流程長短）</t>
  </si>
  <si>
    <t>內部 IT 人員數量</t>
  </si>
  <si>
    <t>是否曾導入其他 SaaS</t>
  </si>
  <si>
    <t>🔹 Step 5：建立多元迴歸模型</t>
  </si>
  <si>
    <t>你已經： ✅ 使用 組織架構複雜度 和 數位化程度 來 預測導入所需時間（月）</t>
  </si>
  <si>
    <t>✅ 訓練 線性回歸模型，得到：</t>
  </si>
  <si>
    <t>組織架構複雜度 → 導入時間增加（+0.0596 / 單位）</t>
  </si>
  <si>
    <t>數位化程度 → 導入時間縮短（-0.1512 / 單位）</t>
  </si>
  <si>
    <t>R² = 0.4939（中等解釋力，仍有額外影響因素）</t>
  </si>
  <si>
    <t>🔹 Step 6：模型解釋 &amp; 提取 Insight</t>
  </si>
  <si>
    <t>📌 主要發現 1️⃣ 組織架構越複雜，導入時間越長（正相關）</t>
  </si>
  <si>
    <t>組織內部部門多、決策慢、員工數多 → 影響導入進度</t>
  </si>
  <si>
    <t>可提供「組織複雜度高」的企業「快速導入 SOP」</t>
  </si>
  <si>
    <t>2️⃣ 數位化程度越高，導入時間越短（負相關）</t>
  </si>
  <si>
    <t>數位工具使用率高的企業 → 更快適應 SaaS</t>
  </si>
  <si>
    <t>可在銷售階段篩選高數位成熟度企業，提升導入效率</t>
  </si>
  <si>
    <t>3️⃣ 解釋力（R² = 0.49）不算太高</t>
  </si>
  <si>
    <t>約 50% 的導入時間變異來自這兩個因素</t>
  </si>
  <si>
    <t>可能還有未考慮的影響因素</t>
  </si>
  <si>
    <t>🔹 Step 7：下一步優化</t>
  </si>
  <si>
    <t>💡 建議補充變數，以提升模型解釋力 🔹 決策時間（SaaS 採購流程長短）</t>
  </si>
  <si>
    <t>🔹 業態類型（住宅 vs 商辦 vs 代管）</t>
  </si>
  <si>
    <t>🔹 內部 IT 人員數量（是否影響導入難度）</t>
  </si>
  <si>
    <t>這些變數可能進一步 提升 R² 值，使模型更準確預測導入時間。</t>
  </si>
  <si>
    <t>📌 總結</t>
  </si>
  <si>
    <t>🚀 你已完成的步驟 ✅ 研究問題確立（影響導入時間的因素）</t>
  </si>
  <si>
    <t>✅ 數據收集（組織架構 &amp; 數位化程度）</t>
  </si>
  <si>
    <t>✅ 資料預處理（清理 &amp; 數值化）</t>
  </si>
  <si>
    <t>✅ 執行多元迴歸分析（確認影響因子）</t>
  </si>
  <si>
    <t>🎯 你可以考慮的下一步</t>
  </si>
  <si>
    <t>補充新變數（決策流程 &amp; 業態類型）</t>
  </si>
  <si>
    <t>測試非線性關係（如對數回歸）</t>
  </si>
  <si>
    <t>細分不同客戶群組，找出隱藏因素</t>
  </si>
  <si>
    <t>💡 ➡️ 你希望我幫你補充新變數來進一步優化模型嗎？或是產出可視化圖表來說明影響關係？ 🎯</t>
  </si>
  <si>
    <t>QA 編號</t>
  </si>
  <si>
    <t>代表案例</t>
  </si>
  <si>
    <t>影片 連結</t>
  </si>
  <si>
    <t>podcast 連結</t>
  </si>
  <si>
    <t>採訪blog 連結</t>
  </si>
  <si>
    <t>採訪blog: 痛點文案</t>
  </si>
  <si>
    <t>營運模式/ 管理類型</t>
  </si>
  <si>
    <t>房地產類型/ 物件屬性</t>
  </si>
  <si>
    <t>物件集中度</t>
  </si>
  <si>
    <t>物件區域</t>
  </si>
  <si>
    <t>此事業(或事業部門) 管理人數(不含帶看業務/合作的外部仲介。兼職夥伴請用0.5計算)</t>
  </si>
  <si>
    <t>事業階段</t>
  </si>
  <si>
    <t>目前已經有在用的軟體工具</t>
  </si>
  <si>
    <t>目前已經有在用的IOT硬體</t>
  </si>
  <si>
    <t>團隊內是否有以下類似的職務人員</t>
  </si>
  <si>
    <t>是否有跟(外部)仲介公司搭配 招租</t>
  </si>
  <si>
    <t>(包租) 是否了解差額發票的計算方式/ 有按月提交開立差額發票</t>
  </si>
  <si>
    <t>(代管) 是否有需要定期製作"大房東/ 股東 損益報表"提供給大房東/股東</t>
  </si>
  <si>
    <t>催繳租客的逾期租金，請問是以下哪個職崗同仁的工作?</t>
  </si>
  <si>
    <t>團隊(或公司)內是否有全職的工務人員(包括修繕人員)?</t>
  </si>
  <si>
    <t>下拉選單 (可複選)</t>
  </si>
  <si>
    <t>簡答</t>
  </si>
  <si>
    <t>下拉選單 (單選)</t>
  </si>
  <si>
    <t>富喬包租 (跨縣市，台北、台中、台南)</t>
  </si>
  <si>
    <t>純包租</t>
  </si>
  <si>
    <t>一方生活、HSH、玖樓 (雙北)</t>
  </si>
  <si>
    <t>共生宅</t>
  </si>
  <si>
    <t>集中在某幾棟</t>
  </si>
  <si>
    <t>1人(超級個體)</t>
  </si>
  <si>
    <t>個人戶</t>
  </si>
  <si>
    <t>LINE OA</t>
  </si>
  <si>
    <t>密碼電子鎖 (不能遠端解鎖)</t>
  </si>
  <si>
    <t>招租業務</t>
  </si>
  <si>
    <t>是，只做社宅(中央版)</t>
  </si>
  <si>
    <t>是</t>
  </si>
  <si>
    <t>居次元 (跨縣市，台中、台北)</t>
  </si>
  <si>
    <t>純代管</t>
  </si>
  <si>
    <t>整戶 (舉例三房兩廳)</t>
  </si>
  <si>
    <t>集中在該縣市的某區(例如工業園區附近等)</t>
  </si>
  <si>
    <t>1-3人</t>
  </si>
  <si>
    <t>正在評估"成立包租代管公司"</t>
  </si>
  <si>
    <t>FB 粉絲團</t>
  </si>
  <si>
    <t>密碼電子鎖(可以遠端解鎖)</t>
  </si>
  <si>
    <t>管理師</t>
  </si>
  <si>
    <t>是，只做社宅(地方版)</t>
  </si>
  <si>
    <t>否，我自己帶看、簽約</t>
  </si>
  <si>
    <t>否</t>
  </si>
  <si>
    <t>星宇瀚 (台南)</t>
  </si>
  <si>
    <t>純代租</t>
  </si>
  <si>
    <t>整戶(套房)(有獨立門牌)</t>
  </si>
  <si>
    <t>一戶一戶分散在分別公寓大樓裡</t>
  </si>
  <si>
    <t>4-6人</t>
  </si>
  <si>
    <t>剛成立"包租代管公司"</t>
  </si>
  <si>
    <t>會到FB 各租房社團貼招租文</t>
  </si>
  <si>
    <t>雲端電表 (可以遠端讀取度數)</t>
  </si>
  <si>
    <t>團隊內有全職財會人員</t>
  </si>
  <si>
    <t>是，只做社宅(中央+地方版)</t>
  </si>
  <si>
    <t>否，我們有自己內部的全職招租業務</t>
  </si>
  <si>
    <t xml:space="preserve">其他備註: </t>
  </si>
  <si>
    <t>心巢 (跨縣市，六都)</t>
  </si>
  <si>
    <t>包租+代管+代租</t>
  </si>
  <si>
    <t>套房(有獨立門牌)</t>
  </si>
  <si>
    <t>7-10人</t>
  </si>
  <si>
    <t>此業務/ 事業部門 "正要擴大營運"</t>
  </si>
  <si>
    <t>會到591 貼租房廣告</t>
  </si>
  <si>
    <t>雲端電表 (可以遠端讀取度數，也可以儲值)</t>
  </si>
  <si>
    <t>搭配總公司的財會人員</t>
  </si>
  <si>
    <t>是，有做社宅+一般包租代管</t>
  </si>
  <si>
    <t>愛租屋 (跨縣市，台中、新竹苗栗)</t>
  </si>
  <si>
    <t>包租+代管</t>
  </si>
  <si>
    <t>分租套房 (沒有獨立門牌)</t>
  </si>
  <si>
    <t>11-15人</t>
  </si>
  <si>
    <t>此業務/ 事業部門 "正優化數位轉型"</t>
  </si>
  <si>
    <t>Slack</t>
  </si>
  <si>
    <t>秘書</t>
  </si>
  <si>
    <t>無，僅做一般包租代管</t>
  </si>
  <si>
    <t>康厝 (桃園)</t>
  </si>
  <si>
    <t>包租+代租</t>
  </si>
  <si>
    <t>分租雅房</t>
  </si>
  <si>
    <t>16-22人</t>
  </si>
  <si>
    <t>以上皆有</t>
  </si>
  <si>
    <t>行政</t>
  </si>
  <si>
    <t>原創 (台中)</t>
  </si>
  <si>
    <t>代管+代租</t>
  </si>
  <si>
    <t>來客 (跨縣市，桃園、台南)</t>
  </si>
  <si>
    <t>透天套房(透套)</t>
  </si>
  <si>
    <t>23人 以上</t>
  </si>
  <si>
    <t>客服人員</t>
  </si>
  <si>
    <t>nineteen (新竹)</t>
  </si>
  <si>
    <t>自有資產-個人</t>
  </si>
  <si>
    <t>工讀生</t>
  </si>
  <si>
    <t>南普建設（高雄）
興中(台中)</t>
  </si>
  <si>
    <t>自有資產-法人</t>
  </si>
  <si>
    <t>圖個樂 (台北)
百喬(新竹)
資育 (跨縣市，台北、新北、高雄)</t>
  </si>
  <si>
    <t>商務中心/共享辦公室</t>
  </si>
  <si>
    <t>富永祥 (日本、澳洲)
B360 (泰國、越南)
泰萬通 (泰國)</t>
  </si>
  <si>
    <t>海外地產</t>
  </si>
  <si>
    <t>至多會有以下分類模組：</t>
  </si>
  <si>
    <t xml:space="preserve"> </t>
  </si>
  <si>
    <t>問題向度</t>
  </si>
  <si>
    <t>調查主題</t>
  </si>
  <si>
    <t>問題類型</t>
  </si>
  <si>
    <t>商業模式</t>
  </si>
  <si>
    <t>問題對SOP影響程度</t>
  </si>
  <si>
    <t>業態</t>
  </si>
  <si>
    <t>大</t>
  </si>
  <si>
    <t>有經營那些租賃業務</t>
  </si>
  <si>
    <t>複選</t>
  </si>
  <si>
    <t>包租</t>
  </si>
  <si>
    <t>代租</t>
  </si>
  <si>
    <t>代管</t>
  </si>
  <si>
    <t>房地產類型</t>
  </si>
  <si>
    <t>商用不動產</t>
  </si>
  <si>
    <t>住宅</t>
  </si>
  <si>
    <t>中</t>
  </si>
  <si>
    <t>租賃類型</t>
  </si>
  <si>
    <t>長租</t>
  </si>
  <si>
    <t>月短租</t>
  </si>
  <si>
    <t>短租(日租)</t>
  </si>
  <si>
    <t>管理物件當中，是否包括自有資產</t>
  </si>
  <si>
    <t>是非題</t>
  </si>
  <si>
    <t>小</t>
  </si>
  <si>
    <t>是否有同時經營社會住宅包租代管</t>
  </si>
  <si>
    <t>是否同時有經營裝修工程</t>
  </si>
  <si>
    <t>是否同時做不動產買賣</t>
  </si>
  <si>
    <t>公司是否有帳務人員對帳</t>
  </si>
  <si>
    <t>公司是否有修繕工班</t>
  </si>
  <si>
    <t>公司的開發業務，薪資制度為何？</t>
  </si>
  <si>
    <t>單選題</t>
  </si>
  <si>
    <t>高專</t>
  </si>
  <si>
    <t>普專</t>
  </si>
  <si>
    <t>都有</t>
  </si>
  <si>
    <t>固定底薪</t>
  </si>
  <si>
    <t>無此人員</t>
  </si>
  <si>
    <t>公司的招租業務，薪資制度為何？</t>
  </si>
  <si>
    <t>公司的招租管道，是否有官網？</t>
  </si>
  <si>
    <t>公司的招租管道，是否會使用官方Line@</t>
  </si>
  <si>
    <t>公司的管理管道，是否會使用官方Line@</t>
  </si>
  <si>
    <t>包租物件中，是否有共生宅(同一戶型中多份合約)</t>
  </si>
  <si>
    <t>無此類別</t>
  </si>
  <si>
    <t>包租物件中，同一門牌是否有重新隔間套房或是兩房等？</t>
  </si>
  <si>
    <t>包租物件中，是否需要抄電錶？</t>
  </si>
  <si>
    <t>包租物件中，是否有法人房東?</t>
  </si>
  <si>
    <t>包租物件中，是否有法人租客?</t>
  </si>
  <si>
    <t>代管物件中，是否有法人房東?</t>
  </si>
  <si>
    <t>代管物件中，是否有法人租客?</t>
  </si>
  <si>
    <t>代管物件中，是否需要抄電錶</t>
  </si>
  <si>
    <t>代管物件中，是否同時會代租</t>
  </si>
  <si>
    <t>代管物件中，是否同時會收取代租仲介服務費</t>
  </si>
  <si>
    <t>代管物件中，是否會向房東收取代管服務費</t>
  </si>
  <si>
    <t>代管物件中，是否有位房東代收租金(代收轉付)</t>
  </si>
  <si>
    <t>代管物件中，向房東收取代管服務費的方式是？</t>
  </si>
  <si>
    <t>由代收轉付租金內扣</t>
  </si>
  <si>
    <t>定期向房東請款</t>
  </si>
  <si>
    <t>代管物件中，管理公司是否會代墊修繕費用</t>
  </si>
  <si>
    <t>商用不動產中，是否有法人租客</t>
  </si>
  <si>
    <t>商用不動產中，是否有個人租客</t>
  </si>
  <si>
    <t>商用不動產中，是否有辦公室</t>
  </si>
  <si>
    <t>商用不動產中，是否有停車位</t>
  </si>
  <si>
    <t>商用不動產中，是否有店面</t>
  </si>
  <si>
    <t>商用不動產中，是否有會員制(非固定空間)</t>
  </si>
  <si>
    <t>商用不動產中，是否有借址登記</t>
  </si>
  <si>
    <t>總覽</t>
  </si>
  <si>
    <t>管理物件數</t>
  </si>
  <si>
    <t>選項</t>
  </si>
  <si>
    <t>100間以下</t>
  </si>
  <si>
    <t>100-300間</t>
  </si>
  <si>
    <t>300-500間</t>
  </si>
  <si>
    <t>500-1000間</t>
  </si>
  <si>
    <t>數字填空</t>
  </si>
  <si>
    <t>1~2000</t>
  </si>
  <si>
    <t>公司人數</t>
  </si>
  <si>
    <t>1 - 5 人</t>
  </si>
  <si>
    <t>6-10人</t>
  </si>
  <si>
    <t>11-20 人</t>
  </si>
  <si>
    <t>20-40人</t>
  </si>
  <si>
    <t>40人以上</t>
  </si>
  <si>
    <t>1~100</t>
  </si>
  <si>
    <t>81-100%</t>
  </si>
  <si>
    <t>(複選)</t>
  </si>
  <si>
    <t>分工</t>
  </si>
  <si>
    <t>分工-組織型態概覽</t>
  </si>
  <si>
    <t>開發物件與招租業務是否可能為同一人</t>
  </si>
  <si>
    <t>招租業務與內勤管理師(催繳租金、與租客溝通)是否可能為同一人</t>
  </si>
  <si>
    <t>文書處理(擬定合約、政府文書....)和對帳是否可能為同一人</t>
  </si>
  <si>
    <t>開發業務的薪資制度</t>
  </si>
  <si>
    <t>固定薪資</t>
  </si>
  <si>
    <t>皆有</t>
  </si>
  <si>
    <t>招租業務的薪資制度</t>
  </si>
  <si>
    <t>管理師的薪資制度</t>
  </si>
  <si>
    <t>分工-房東開發</t>
  </si>
  <si>
    <t>房東業務拓展（拜訪、合作洽談），是否有專責開發業務</t>
  </si>
  <si>
    <t>有</t>
  </si>
  <si>
    <t>無</t>
  </si>
  <si>
    <t>房東身份與產權確認</t>
  </si>
  <si>
    <t>單選</t>
  </si>
  <si>
    <t>行政人員</t>
  </si>
  <si>
    <t>業務</t>
  </si>
  <si>
    <t>其他</t>
  </si>
  <si>
    <t>建立物件基本資料（坪數、地址、租賃條件、裝潢狀況等)於資料庫</t>
  </si>
  <si>
    <t>擬定委託管理約</t>
  </si>
  <si>
    <t>簽訂 物業委託管理合約</t>
  </si>
  <si>
    <t>分工-房東委託管理</t>
  </si>
  <si>
    <t>委託約歸檔（數位存檔 / 紙本歸檔）</t>
  </si>
  <si>
    <t>收取房屋鑰匙的人是誰</t>
  </si>
  <si>
    <t>初步物件檢查，紀錄現況（照片、設備清單）</t>
  </si>
  <si>
    <t>分工-租客招募 &amp; 刊登</t>
  </si>
  <si>
    <t>物件刊登（FB、591）</t>
  </si>
  <si>
    <t>行銷推廣招租物件</t>
  </si>
  <si>
    <t>租客帶看</t>
  </si>
  <si>
    <t>租客篩選與信用評估（租客背景調查、財務穩定性）</t>
  </si>
  <si>
    <t>分工-租約建立</t>
  </si>
  <si>
    <t>建立租約</t>
  </si>
  <si>
    <t>合約審核</t>
  </si>
  <si>
    <t>發送簽約連結（電子簽約）</t>
  </si>
  <si>
    <t>管理者簽約</t>
  </si>
  <si>
    <t>入住點交房屋</t>
  </si>
  <si>
    <t>分工-帳務管理</t>
  </si>
  <si>
    <t>首月租金 + 押金 + 其他費用支付 &amp; 收取</t>
  </si>
  <si>
    <t>發帳單（立帳）</t>
  </si>
  <si>
    <t>對帳（租金催繳 &amp; 繳款確認）</t>
  </si>
  <si>
    <t>自有資產-開立發票</t>
  </si>
  <si>
    <t>包租-填寫收支明細表、開立電子發票</t>
  </si>
  <si>
    <t xml:space="preserve">代管-向屋主報告帳務(製作帳務報表) </t>
  </si>
  <si>
    <t>包租-匯款給屋主</t>
  </si>
  <si>
    <t>代管-匯款給屋主</t>
  </si>
  <si>
    <t>分工-租賃管理 &amp; 維護</t>
  </si>
  <si>
    <t>抄電錶</t>
  </si>
  <si>
    <t>租客報修</t>
  </si>
  <si>
    <t>管理者記錄修繕內容</t>
  </si>
  <si>
    <t>派單給修繕人員</t>
  </si>
  <si>
    <t>追蹤修繕進度</t>
  </si>
  <si>
    <t>修繕費用分攤（房東 or 租客負擔）</t>
  </si>
  <si>
    <t>分工-租約到期 &amp; 續約</t>
  </si>
  <si>
    <t>續約通知</t>
  </si>
  <si>
    <t>代管-調整租金（房東 &amp; 租客協商）</t>
  </si>
  <si>
    <t>續約簽訂</t>
  </si>
  <si>
    <t>租客疑難雜症排除</t>
  </si>
  <si>
    <t>分工-退租 &amp; 物件檢查</t>
  </si>
  <si>
    <t>租客申請退租</t>
  </si>
  <si>
    <t>點退房屋（Check-out）</t>
  </si>
  <si>
    <t>設備清點</t>
  </si>
  <si>
    <t>損壞費用計算</t>
  </si>
  <si>
    <t>押金退還</t>
  </si>
  <si>
    <t>分工-例外 &amp; 緊急狀況處理</t>
  </si>
  <si>
    <t>租客違約（租金拖欠、違規使用）</t>
  </si>
  <si>
    <t>租客驅逐 &amp; 法律程序</t>
  </si>
  <si>
    <t>房東提前終止合約</t>
  </si>
  <si>
    <t>突發事件（火災、天災、糾紛處理）</t>
  </si>
  <si>
    <t>投資人或大房東突發變動（出售資產、變更經營策略）</t>
  </si>
  <si>
    <t>人員組成</t>
  </si>
  <si>
    <t>開發業務人數</t>
  </si>
  <si>
    <t>0-20%</t>
  </si>
  <si>
    <t>21-40%</t>
  </si>
  <si>
    <t>41-60%</t>
  </si>
  <si>
    <t>61~80%</t>
  </si>
  <si>
    <t>招租業務人數</t>
  </si>
  <si>
    <t>管理師人數</t>
  </si>
  <si>
    <t>秘書人數</t>
  </si>
  <si>
    <t>開發業務在公司占比</t>
  </si>
  <si>
    <t>業務Sales屬性</t>
  </si>
  <si>
    <t>混專(高專+普專)</t>
  </si>
  <si>
    <t>帶看是誰的職務</t>
  </si>
  <si>
    <t>混專</t>
  </si>
  <si>
    <t>擬定合約</t>
  </si>
  <si>
    <t>簽約</t>
  </si>
  <si>
    <t>租客修繕回報，是誰的職務</t>
  </si>
  <si>
    <t>客服</t>
  </si>
  <si>
    <t>對帳，是否有做代收轉付</t>
  </si>
  <si>
    <t>是否有修繕部門</t>
  </si>
  <si>
    <t>沒有，外部配合</t>
  </si>
  <si>
    <t>有 &amp; 混專</t>
  </si>
  <si>
    <t>費用是否需要跟房東回報、確認、請款</t>
  </si>
  <si>
    <t>是否有專責財務人員</t>
  </si>
  <si>
    <t>有，只做財務</t>
  </si>
  <si>
    <t>有，是隔壁部門 (總公司)</t>
  </si>
  <si>
    <t>無，財務兼行政</t>
  </si>
  <si>
    <t>無，對帳=sales主責工作</t>
  </si>
  <si>
    <t>有沒有代收租金</t>
  </si>
  <si>
    <t>包租- 有</t>
  </si>
  <si>
    <t>代管-沒有</t>
  </si>
  <si>
    <t>代管-有</t>
  </si>
  <si>
    <t>代管-有、 沒有</t>
  </si>
  <si>
    <t>屋主身分</t>
  </si>
  <si>
    <t>包租代管型態</t>
  </si>
  <si>
    <t>租客身分</t>
  </si>
  <si>
    <t>發票/收據形式</t>
  </si>
  <si>
    <t>個人</t>
  </si>
  <si>
    <t>收據</t>
  </si>
  <si>
    <t>法人</t>
  </si>
  <si>
    <t>發票</t>
  </si>
  <si>
    <t>屋主發票</t>
  </si>
  <si>
    <t>差額發票</t>
  </si>
  <si>
    <t>自有資產(公司)</t>
  </si>
  <si>
    <t>包租代管公司發票</t>
  </si>
  <si>
    <t>自有資產(個人)</t>
  </si>
  <si>
    <t>評估問題</t>
  </si>
  <si>
    <t>選項 1（1分）</t>
  </si>
  <si>
    <t>選項 2（3分）</t>
  </si>
  <si>
    <t>選項 3（5分）</t>
  </si>
  <si>
    <t>得分(可視情況給2或4分)</t>
  </si>
  <si>
    <t>組織規模</t>
  </si>
  <si>
    <t>貴公司目前管理的租賃物件數量？</t>
  </si>
  <si>
    <t>100-500間</t>
  </si>
  <si>
    <t>500-1,000 間或以上（5分）</t>
  </si>
  <si>
    <t>貴公司目前的員工總數？</t>
  </si>
  <si>
    <t>11-20 人（3分）</t>
  </si>
  <si>
    <t>30 人以上（5分）</t>
  </si>
  <si>
    <t>組織結構</t>
  </si>
  <si>
    <t>各部門功能是否可完整運作(行政、業務、財務、法務、客服、工務)</t>
  </si>
  <si>
    <t>所有部門職能完整(1分)</t>
  </si>
  <si>
    <t>部分部門職能完整(3分)</t>
  </si>
  <si>
    <t>絕大部份職能不完整(5分)</t>
  </si>
  <si>
    <t>財務是否獨立</t>
  </si>
  <si>
    <t>只分外勤、內勤 vs 一條龍</t>
  </si>
  <si>
    <t>財務部門，是否獨立</t>
  </si>
  <si>
    <t>組織複雜度</t>
  </si>
  <si>
    <t>雙重參數</t>
  </si>
  <si>
    <t>貴公司目前的業務範圍？</t>
  </si>
  <si>
    <t>單一城市</t>
  </si>
  <si>
    <t>多個區域（3分）</t>
  </si>
  <si>
    <t>跨國經營（5分）</t>
  </si>
  <si>
    <t>決策流程</t>
  </si>
  <si>
    <t>訂單參數</t>
  </si>
  <si>
    <t>SaaS 方案的 SOP 決策權限在哪個層級？</t>
  </si>
  <si>
    <t>由創辦人直接決策</t>
  </si>
  <si>
    <t>部門主管共識（3分）</t>
  </si>
  <si>
    <t>CFO / 高層 &amp; 多次審批（5分）</t>
  </si>
  <si>
    <t>(務必冒號:業務用觀察的情況填入)</t>
  </si>
  <si>
    <t>業務特性</t>
  </si>
  <si>
    <t>租賃管理業務類型多元性？
-包租
-代租代管
-自有資產出租
-商用不動產
-社會住宅
-短租
-買賣
-純代租
-純代管</t>
  </si>
  <si>
    <t>1-2租賃業態</t>
  </si>
  <si>
    <t>3-4 種租賃業態（3分）</t>
  </si>
  <si>
    <t>超過 4 種以上（5分）</t>
  </si>
  <si>
    <t>內部標準化程度</t>
  </si>
  <si>
    <t>是否已有標準化且運作順暢的租賃管理流程？</t>
  </si>
  <si>
    <t>已有完整 SOP</t>
  </si>
  <si>
    <t>部分 SOP，但因跨區或不同情況使流程不同，尚未整合（3分）</t>
  </si>
  <si>
    <t>沒有 SOP（5分）</t>
  </si>
  <si>
    <t>企業擴展計畫</t>
  </si>
  <si>
    <t>貴公司是否有擴張計畫？</t>
  </si>
  <si>
    <t>未來 2 年不擴張</t>
  </si>
  <si>
    <t>計畫新增 1-2 個據點（3分）</t>
  </si>
  <si>
    <t>加盟、靠行制....（5分）</t>
  </si>
  <si>
    <t>總分數</t>
  </si>
  <si>
    <t>構面</t>
  </si>
  <si>
    <t>得分(可視情況填寫2或4)</t>
  </si>
  <si>
    <t>IT 基礎設施（Infrastructure）</t>
  </si>
  <si>
    <t>目前公司的資料雲端化程度？</t>
  </si>
  <si>
    <t>完全紙本管理</t>
  </si>
  <si>
    <t>主要使用本地端 Excel/檔案</t>
  </si>
  <si>
    <t>多數流程透過ERP/SaaS完成</t>
  </si>
  <si>
    <t>貴公司是否熟悉 ERP、CRM、帳務、人資等管理系統的操作？</t>
  </si>
  <si>
    <t>完全無使用</t>
  </si>
  <si>
    <t>部分部門已導入</t>
  </si>
  <si>
    <t>多數部門整合應用</t>
  </si>
  <si>
    <t>貴司使用過幾項智慧設備（電子門鎖、雲端監視器、智慧電錶等）？</t>
  </si>
  <si>
    <t>0-1 項</t>
  </si>
  <si>
    <t>2 項</t>
  </si>
  <si>
    <t>3 項或以上</t>
  </si>
  <si>
    <t>自動化程度（Automation）</t>
  </si>
  <si>
    <t>租賃管理流程數位化程度？
-線上刊登招租物件、粉專行銷
-自動化合約生成工具
-官方 Line@ 團隊溝通工具
-使用銀行虛擬帳號等工具自動核對繳租狀況
-租賃管理收支報表自動產出（搭配會計系統或 Excel 函數）
-線上報修整合工具（填寫表單、自動產出修繕報表等）
-使用 AI 工具協力日常營運作業</t>
  </si>
  <si>
    <t>2-4 項</t>
  </si>
  <si>
    <t>5 項以上</t>
  </si>
  <si>
    <t>數據管理（Data &amp; Analytics）</t>
  </si>
  <si>
    <t>貴公司是否定期收集並分析租賃數據來制定決策？</t>
  </si>
  <si>
    <t>沒有</t>
  </si>
  <si>
    <t>偶爾進行</t>
  </si>
  <si>
    <t>定期分析數據</t>
  </si>
  <si>
    <t>貴公司是否擁有完整的數據報表系統？</t>
  </si>
  <si>
    <t>部分功能</t>
  </si>
  <si>
    <t>完整數據儀表板</t>
  </si>
  <si>
    <t>貴公司在決策時，主要依據哪些數據來源？</t>
  </si>
  <si>
    <t>依賴主管經驗</t>
  </si>
  <si>
    <t>手動統計 Excel 數據</t>
  </si>
  <si>
    <t>數據儀表板</t>
  </si>
  <si>
    <t>數位戰略（Digital Strategy）</t>
  </si>
  <si>
    <t>貴公司是否有明確的數位轉型戰略文件？</t>
  </si>
  <si>
    <t>計畫擬定中</t>
  </si>
  <si>
    <t>已經擬定並開始執行</t>
  </si>
  <si>
    <t>公司高層對於數位轉型的支持程度？</t>
  </si>
  <si>
    <t>完全不支持</t>
  </si>
  <si>
    <t>支持但未投入資源</t>
  </si>
  <si>
    <t>積極支持並提供資源</t>
  </si>
  <si>
    <t>公司中階主管對於數位轉型的支持程度？</t>
  </si>
  <si>
    <t>部分支持</t>
  </si>
  <si>
    <t>全面支持並推動變革</t>
  </si>
  <si>
    <t>貴公司在未來 3 年內的數位轉型目標？</t>
  </si>
  <si>
    <t>沒有明確計畫</t>
  </si>
  <si>
    <t>已導入 SaaS 工具，正在優化流程</t>
  </si>
  <si>
    <t>以數位化作為主要競爭策略</t>
  </si>
  <si>
    <t>組織與文化（Culture &amp; Talent）</t>
  </si>
  <si>
    <t>貴公司員工的數位技能水平？</t>
  </si>
  <si>
    <t>大部分員工不熟悉</t>
  </si>
  <si>
    <t>部分團隊具備數位能力</t>
  </si>
  <si>
    <t>主要業務團隊能應用</t>
  </si>
  <si>
    <t>企業是否提供數位技能培訓？</t>
  </si>
  <si>
    <t>部分員工參加</t>
  </si>
  <si>
    <t>定期提供數位技能培訓</t>
  </si>
  <si>
    <t>參考依據：</t>
  </si>
  <si>
    <t>📌 MIT Sloan &amp; Capgemini「數位成熟度模型」詳細問卷問題</t>
  </si>
  <si>
    <t>該模型的數位成熟度評估分為兩大構面：「數位能力（Digital Capabilities）」與「領導力能力（Leadership Capabilities）」，我們可以根據這些構面拆解成具體的問卷問題，以量化企業的數位成熟度。</t>
  </si>
  <si>
    <t>📌 A. 數位能力（Digital Capabilities）</t>
  </si>
  <si>
    <t>這部分衡量企業是否擁有足夠的數位技術基礎來支持轉型，包括 IT 基礎架構、自動化、數據分析和數位產品等。</t>
  </si>
  <si>
    <t>1️⃣ IT 基礎設施（Infrastructure）</t>
  </si>
  <si>
    <t>✅ 問題範圍：企業的 IT 能力、雲端化程度與 API 整合</t>
  </si>
  <si>
    <t>貴公司是否已經全面使用雲端基礎設施？（是 / 部分 / 否）</t>
  </si>
  <si>
    <t>貴公司是否擁有 API 來與其他系統（ERP、CRM）進行整合？（是 / 計畫中 / 否）</t>
  </si>
  <si>
    <t>貴公司目前主要使用何種 IT 基礎設施？</t>
  </si>
  <si>
    <t>紙本或 Excel 記錄（0分）</t>
  </si>
  <si>
    <t>本地端軟體（如 Excel + Access）（2分）</t>
  </si>
  <si>
    <t>部分雲端應用（如 Google Drive、簡單SaaS）（5分）</t>
  </si>
  <si>
    <t>全面雲端 SaaS + API 整合（10分）</t>
  </si>
  <si>
    <t>貴公司在 IT 安全性管理（如加密、備份、存取控制）方面，是否有明確的規劃和執行？（是 / 部分 / 否）</t>
  </si>
  <si>
    <t>2️⃣ 自動化程度（Automation）</t>
  </si>
  <si>
    <t>✅ 問題範圍：企業內部是否已經開始用數位工具自動化營運？</t>
  </si>
  <si>
    <t>貴公司是否使用自動化工具來處理日常業務（如自動報表生成、租金催繳）？（是 / 部分 / 否）</t>
  </si>
  <si>
    <t>目前租賃管理的哪些流程已經數位化或自動化？</t>
  </si>
  <si>
    <t>手動管理所有租賃記錄（0分）</t>
  </si>
  <si>
    <t>使用 Excel 或 Google Sheets（2分）</t>
  </si>
  <si>
    <t>使用雲端軟體但仍需人工操作（5分）</t>
  </si>
  <si>
    <t>完全自動化（例如系統自動催租、簽約、對帳）（10分）</t>
  </si>
  <si>
    <t>貴公司是否已經整合 AI 或 RPA（機器人流程自動化）來處理部分業務？（是 / 計畫中 / 否）</t>
  </si>
  <si>
    <t>3️⃣ 數據管理（Data &amp; Analytics）</t>
  </si>
  <si>
    <t>✅ 問題範圍：企業是否利用數據分析來驅動決策？</t>
  </si>
  <si>
    <t>貴公司是否定期收集並分析租賃數據來制定決策？（是 / 部分 / 否）</t>
  </si>
  <si>
    <t>貴公司是否擁有完整的數據報表系統，能夠提供房源、租賃收益、客戶行為等關鍵指標？（是 / 部分 / 否）</t>
  </si>
  <si>
    <t>貴公司是否使用 AI 或機器學習技術來預測租賃趨勢？（是 / 計畫中 / 否）</t>
  </si>
  <si>
    <t>依賴主管經驗（0分）</t>
  </si>
  <si>
    <t>手動統計 Excel 數據（2分）</t>
  </si>
  <si>
    <t>基本數據儀表板（5分）</t>
  </si>
  <si>
    <t>高度數據驅動，並有預測分析（10分）</t>
  </si>
  <si>
    <t>4️⃣ 數位服務與產品（Digital Offerings）</t>
  </si>
  <si>
    <t>✅ 問題範圍：企業是否透過 SaaS 或數位工具來經營？</t>
  </si>
  <si>
    <t>貴公司是否已經數位化租賃管理服務，如提供線上租賃簽約？（是 / 部分 / 否）</t>
  </si>
  <si>
    <t>貴公司是否有開發或採用 SaaS 平台來提升業務效率？（是 / 計畫中 / 否）</t>
  </si>
  <si>
    <t>貴公司是否有開發自有 App 或 API 來提升客戶體驗？（是 / 計畫中 / 否）</t>
  </si>
  <si>
    <t>貴公司目前的數位化產品類型？</t>
  </si>
  <si>
    <t>沒有（0分）</t>
  </si>
  <si>
    <t>基本數位服務（如網站、Email 通知）（2分）</t>
  </si>
  <si>
    <t>部分數位化產品（如會員管理、在線客服）（5分）</t>
  </si>
  <si>
    <t>高度數位化（如自有 SaaS、智能租賃管理系統）（10分）</t>
  </si>
  <si>
    <t>📌 B. 領導力能力（Leadership Capabilities）</t>
  </si>
  <si>
    <t>這部分衡量企業內部是否具備適當的管理文化與策略，以支持數位化發展。</t>
  </si>
  <si>
    <t>1️⃣ 數位戰略（Digital Strategy）</t>
  </si>
  <si>
    <t>✅ 問題範圍：企業是否擁有明確的數位化願景與長期計畫？</t>
  </si>
  <si>
    <t>貴公司是否有明確的數位轉型戰略文件？（是 / 計畫中 / 否）</t>
  </si>
  <si>
    <t>貴公司高層是否支持數位轉型？（完全支持 / 部分支持 / 否）</t>
  </si>
  <si>
    <t>貴公司在未來 3 年內的數位轉型目標是？</t>
  </si>
  <si>
    <t>沒有明確計畫（0分）</t>
  </si>
  <si>
    <t>計畫導入 SaaS 工具（2分）</t>
  </si>
  <si>
    <t>已經開始執行數位轉型計畫（5分）</t>
  </si>
  <si>
    <t>以數位化作為主要競爭策略（10分）</t>
  </si>
  <si>
    <t>2️⃣ 組織與文化（Culture &amp; Talent）</t>
  </si>
  <si>
    <t>✅ 問題範圍：企業內部文化是否支持數位化轉型？</t>
  </si>
  <si>
    <t>貴公司是否有專門的數位轉型團隊？（是 / 計畫中 / 否）</t>
  </si>
  <si>
    <t>貴公司是否提供員工數位技能培訓？（是 / 部分 / 否）</t>
  </si>
  <si>
    <t>大部分員工不熟悉數位工具（0分）</t>
  </si>
  <si>
    <t>只有部分團隊具備數位能力（2分）</t>
  </si>
  <si>
    <t>主要業務團隊能夠應用數位工具（5分）</t>
  </si>
  <si>
    <t>整個企業高度數位化（10分）</t>
  </si>
  <si>
    <t>3️⃣ 變革管理（Governance &amp; Change Management）</t>
  </si>
  <si>
    <t>✅ 問題範圍：企業是否擁有良好的變革管理能力？</t>
  </si>
  <si>
    <t>貴公司是否有專門的數位轉型預算？（是 / 部分 / 否）</t>
  </si>
  <si>
    <t>貴公司是否建立數位轉型績效指標（如數據應用程度、業務增長）？（是 / 計畫中 / 否）</t>
  </si>
  <si>
    <t>貴公司是否曾經因數位轉型而調整組織架構？（是 / 計畫中 / 否）</t>
  </si>
  <si>
    <t>導入指標</t>
  </si>
  <si>
    <t>KPI 量化方式</t>
  </si>
  <si>
    <t>成功標準</t>
  </si>
  <si>
    <t>物件管理</t>
  </si>
  <si>
    <t>- 客戶是否已成功上傳 50% 以上管理物件</t>
  </si>
  <si>
    <t>✅ 物件上傳率 ≥ 50%</t>
  </si>
  <si>
    <t>合約管理</t>
  </si>
  <si>
    <t>- 上傳的物件中，是否已有50%以上物件建立合約</t>
  </si>
  <si>
    <t>✅ 合約建立率 ≥ 50%</t>
  </si>
  <si>
    <t>帳務管理</t>
  </si>
  <si>
    <t>- 執行中合約，是否已可由客戶自行發送帳單編輯和發送，並查看帳務報表</t>
  </si>
  <si>
    <t>✅ 帳單已定期編輯和發送，並查看帳務報表</t>
  </si>
  <si>
    <t>金流整合</t>
  </si>
  <si>
    <t>- 是否完成線上支付串接（如銀行轉帳、信用卡）</t>
  </si>
  <si>
    <t>✅ 成功串接金流並了解操作</t>
  </si>
  <si>
    <t>自動通知</t>
  </si>
  <si>
    <t>- 是否已建立和租客固定的溝通渠道節省時間(Line@六宮格 or JGB email)</t>
  </si>
  <si>
    <t>✅ 已請租客加入Line@ or 接收自動通知</t>
  </si>
  <si>
    <t>SOP 操作</t>
  </si>
  <si>
    <t>- 內部是否已成功建立SOP，不需顧問再次進行基礎教學</t>
  </si>
  <si>
    <t>✅ 7 天內有使用紀錄</t>
  </si>
  <si>
    <t>例外情況</t>
  </si>
  <si>
    <t>客戶選擇漸進式導入(有新租客再導入系統)，但已熟悉物件、合約、帳務功能</t>
  </si>
  <si>
    <t>客戶了解系統功能，但選擇使用其他系統搭配(例如：客戶選擇會計系統製作報表)</t>
  </si>
  <si>
    <t>業態/比例（按件數）</t>
  </si>
  <si>
    <t>-包租</t>
  </si>
  <si>
    <t>-代租代管</t>
  </si>
  <si>
    <t>-自有資產出租</t>
  </si>
  <si>
    <t>-商用不動產</t>
  </si>
  <si>
    <t>-社會住宅</t>
  </si>
  <si>
    <t>-短租</t>
  </si>
  <si>
    <t>-買賣</t>
  </si>
  <si>
    <t>-純代租</t>
  </si>
  <si>
    <t>-純代管</t>
  </si>
  <si>
    <t>-其他複雜管理情況</t>
  </si>
  <si>
    <t>紅色子房 (red612)</t>
  </si>
  <si>
    <t>雙北</t>
  </si>
  <si>
    <t>E.自有資產+代管</t>
  </si>
  <si>
    <t>Andy</t>
  </si>
  <si>
    <t>共宅一生(玖樓)</t>
  </si>
  <si>
    <t>愛租屋(廣鎰)(易聚)</t>
  </si>
  <si>
    <t>豐馥資產</t>
  </si>
  <si>
    <t>荷馬國際 (HSH)</t>
  </si>
  <si>
    <t>丞善 Ace (100)</t>
  </si>
  <si>
    <t>雲澤空間設計(100)</t>
  </si>
  <si>
    <t>鼎泰</t>
  </si>
  <si>
    <t>Willy</t>
  </si>
  <si>
    <t>新北住都中心</t>
  </si>
  <si>
    <t>Joanna</t>
  </si>
  <si>
    <t>宸竹不動產</t>
  </si>
  <si>
    <t>居次元租賃住宅服務有限公司</t>
  </si>
  <si>
    <t>川蜀國際行銷有限公司</t>
  </si>
  <si>
    <t>崧淵有限公司 (Doris)</t>
  </si>
  <si>
    <t>陳夢琨(100)</t>
  </si>
  <si>
    <t>桃園</t>
  </si>
  <si>
    <t>宏宜房屋管理顧問有限公司</t>
  </si>
  <si>
    <t>創築地產管理顧問股份有限公司(鈁龍)</t>
  </si>
  <si>
    <t>K.其他</t>
  </si>
  <si>
    <t>富甲國際有限公司</t>
  </si>
  <si>
    <t>時代精銳國際管理顧問有限公司</t>
  </si>
  <si>
    <t>圖個樂有限公司</t>
  </si>
  <si>
    <t>興中資產(易聚)</t>
  </si>
  <si>
    <t>晴朗公寓有限公司(易聚)</t>
  </si>
  <si>
    <t>超人管家(易聚)</t>
  </si>
  <si>
    <t>易聚智慧</t>
  </si>
  <si>
    <t>蘊享股份有限公司(易聚)</t>
  </si>
  <si>
    <t>慕信不動產(易聚)</t>
  </si>
  <si>
    <t>匯揚不動產(易聚)</t>
  </si>
  <si>
    <t>永紘資產(易聚)</t>
  </si>
  <si>
    <t>原創租賃管理顧問有限公司</t>
  </si>
  <si>
    <t>統上</t>
  </si>
  <si>
    <t>Mana Mana Suites SDN BHD</t>
  </si>
  <si>
    <t>馬來西亞</t>
  </si>
  <si>
    <t>Leo</t>
  </si>
  <si>
    <t>星宇瀚物管有限公司</t>
  </si>
  <si>
    <t>富永祥</t>
  </si>
  <si>
    <t>澳洲</t>
  </si>
  <si>
    <t>飛豬租屋</t>
  </si>
  <si>
    <t>2024008001</t>
  </si>
  <si>
    <t>富洋開發有限公司(中和太平洋房屋)</t>
  </si>
  <si>
    <t xml:space="preserve">台北_ 中永和 </t>
  </si>
  <si>
    <t>宜家商旅</t>
  </si>
  <si>
    <t xml:space="preserve">C. 旅館 </t>
  </si>
  <si>
    <t>2024008101</t>
  </si>
  <si>
    <t>永富管理顧問-鍾小姐(茶道序飲)</t>
  </si>
  <si>
    <t>新北_新莊</t>
  </si>
  <si>
    <t>優式心寓(優式),(轉介紹) (唐昕)</t>
  </si>
  <si>
    <t>Max Realty,(轉介紹)</t>
  </si>
  <si>
    <t>曼谷</t>
  </si>
  <si>
    <t>D. 仲介-跨國</t>
  </si>
  <si>
    <t>長富國際地產有限公司(好棒窩)</t>
  </si>
  <si>
    <t>聯欣裝潢</t>
  </si>
  <si>
    <t>新北</t>
  </si>
  <si>
    <t>吉爾達國際有限公司(租隊友)</t>
  </si>
  <si>
    <t>高雄</t>
  </si>
  <si>
    <t>錸馬斯特創意空間設計</t>
  </si>
  <si>
    <t>東森鋅光地產</t>
  </si>
  <si>
    <t>柬埔寨</t>
  </si>
  <si>
    <t xml:space="preserve">金邊 </t>
  </si>
  <si>
    <t>湶鑫開發事業有限公司(易聚),(轉介紹)</t>
  </si>
  <si>
    <t>鍾魁資產管理(易聚),(轉介紹)</t>
  </si>
  <si>
    <t>國立臺灣大學總務處經營管理組</t>
  </si>
  <si>
    <t>住佳管理顧問有限公司</t>
  </si>
  <si>
    <t>新北_汐止</t>
  </si>
  <si>
    <t>2024008504</t>
  </si>
  <si>
    <t>富豐不動產</t>
  </si>
  <si>
    <t>台東</t>
  </si>
  <si>
    <t>白居寓管理顧問有限公司</t>
  </si>
  <si>
    <t>Beyond 360 (碩盛國際)</t>
  </si>
  <si>
    <t>泰國</t>
  </si>
  <si>
    <t>窩的家裝潢管理顧問有限公司</t>
  </si>
  <si>
    <t xml:space="preserve">蘭山苑有限公司 </t>
  </si>
  <si>
    <t>太子建設</t>
  </si>
  <si>
    <t>J. 建設公司</t>
  </si>
  <si>
    <t>徑和顧問有限公司(好家來)</t>
  </si>
  <si>
    <t>溫馨窩有限公司</t>
  </si>
  <si>
    <t>以下為已退訂客戶清單</t>
  </si>
  <si>
    <t>邑瀚股份有限公司</t>
  </si>
  <si>
    <t>大都會商用不動產開發股份有限公司</t>
  </si>
  <si>
    <t>中捷生活事業股份有限公司</t>
  </si>
  <si>
    <t>好房客物業管理顧問有限公司</t>
  </si>
  <si>
    <t>富宥家不動產有限公司</t>
  </si>
  <si>
    <t>家澤不動產經紀有限公司</t>
  </si>
  <si>
    <t>500</t>
  </si>
  <si>
    <t>SIC PROPERTY SERVICES CO., LTD.</t>
  </si>
  <si>
    <t>250</t>
  </si>
  <si>
    <t>changel天使投資</t>
  </si>
  <si>
    <t>金邊</t>
  </si>
  <si>
    <t>亞寬科技股份有限公司</t>
  </si>
  <si>
    <t>Vera</t>
  </si>
  <si>
    <t>實易不動產</t>
  </si>
  <si>
    <t>傳奇資產管理有限公司</t>
  </si>
  <si>
    <t>Flyaway Homes</t>
  </si>
  <si>
    <t>安租有限公司</t>
  </si>
  <si>
    <t>杰陞設計</t>
  </si>
  <si>
    <t>太平洋同心圓</t>
  </si>
  <si>
    <t>D. 仲介-連鎖</t>
  </si>
  <si>
    <t>大昇管理顧問有限公司</t>
  </si>
  <si>
    <t>丞達開發有限公司</t>
  </si>
  <si>
    <t>東森國際地產顧問股份有限公司</t>
  </si>
  <si>
    <t>衍尊貿易實業有限公司</t>
  </si>
  <si>
    <t>誠毅物業管理顧問股份有限公司(逸台北)</t>
  </si>
  <si>
    <t>全家不動產管理顧問有限公司</t>
  </si>
  <si>
    <t>Home Viet Real Estate., JSC</t>
  </si>
  <si>
    <t>越南</t>
  </si>
  <si>
    <t>河內</t>
  </si>
  <si>
    <t>免移交</t>
  </si>
  <si>
    <t>TWG</t>
  </si>
  <si>
    <t>君宥開發有限公司 (超越地板)</t>
  </si>
  <si>
    <t>紳讚資產管理股份有限公司</t>
  </si>
  <si>
    <t>里寓(寓恆)</t>
  </si>
  <si>
    <t>有成物業</t>
  </si>
  <si>
    <t>頤泊有限公司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</si>
</sst>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yyyy&quot;/&quot;mm&quot;/&quot;dd"/>
  </numFmts>
  <fonts count="28">
    <font>
      <sz val="10.0"/>
      <color rgb="FF000000"/>
      <name val="Arial"/>
      <scheme val="minor"/>
    </font>
    <font>
      <b/>
      <sz val="14.0"/>
      <color rgb="FFFF0000"/>
      <name val="Arial"/>
      <scheme val="minor"/>
    </font>
    <font>
      <b/>
      <sz val="19.0"/>
      <color rgb="FFFF0000"/>
      <name val="Arial"/>
      <scheme val="minor"/>
    </font>
    <font>
      <sz val="19.0"/>
      <color theme="1"/>
      <name val="Arial"/>
      <scheme val="minor"/>
    </font>
    <font>
      <color theme="1"/>
      <name val="Arial"/>
      <scheme val="minor"/>
    </font>
    <font>
      <b/>
      <sz val="18.0"/>
      <color rgb="FF0000FF"/>
      <name val="Arial"/>
      <scheme val="minor"/>
    </font>
    <font>
      <color theme="1"/>
      <name val="Arial"/>
    </font>
    <font>
      <b/>
      <sz val="18.0"/>
      <color rgb="FF0000FF"/>
      <name val="Arial"/>
    </font>
    <font>
      <b/>
      <color theme="1"/>
      <name val="Arial"/>
    </font>
    <font>
      <b/>
      <color theme="1"/>
      <name val="Arial"/>
      <scheme val="minor"/>
    </font>
    <font>
      <b/>
      <sz val="15.0"/>
      <color rgb="FF0000FF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rgb="FF434343"/>
      <name val="Arial"/>
    </font>
    <font>
      <color rgb="FF1D1C1D"/>
      <name val="Arial"/>
    </font>
    <font>
      <color rgb="FFFF0000"/>
      <name val="Arial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  <font>
      <b/>
      <sz val="11.0"/>
      <color rgb="FF222222"/>
      <name val="&quot;Google Sans&quot;"/>
    </font>
    <font>
      <sz val="11.0"/>
      <color rgb="FF000000"/>
      <name val="新細明體"/>
    </font>
    <font>
      <sz val="11.0"/>
      <color rgb="FF222222"/>
      <name val="&quot;Google Sans&quot;"/>
    </font>
    <font>
      <color rgb="FF0000FF"/>
      <name val="Arial"/>
      <scheme val="minor"/>
    </font>
    <font>
      <color rgb="FF9900FF"/>
      <name val="Arial"/>
      <scheme val="minor"/>
    </font>
    <font>
      <color rgb="FFFF0000"/>
      <name val="Arial"/>
      <scheme val="minor"/>
    </font>
    <font>
      <b/>
      <sz val="11.0"/>
      <color rgb="FF000000"/>
      <name val="新細明體"/>
    </font>
    <font>
      <b/>
      <sz val="11.0"/>
      <color theme="1"/>
      <name val="Arial"/>
      <scheme val="minor"/>
    </font>
    <font>
      <color rgb="FF999999"/>
      <name val="Arial"/>
      <scheme val="minor"/>
    </font>
    <font>
      <b/>
      <sz val="11.0"/>
      <color rgb="FFB7B7B7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2" fontId="3" numFmtId="0" xfId="0" applyAlignment="1" applyFill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3" fontId="4" numFmtId="0" xfId="0" applyAlignment="1" applyFill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3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4" fontId="4" numFmtId="0" xfId="0" applyAlignment="1" applyFill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2" fontId="4" numFmtId="0" xfId="0" applyAlignment="1" applyFont="1">
      <alignment shrinkToFit="0" vertical="top" wrapText="1"/>
    </xf>
    <xf borderId="0" fillId="5" fontId="11" numFmtId="49" xfId="0" applyAlignment="1" applyFill="1" applyFont="1" applyNumberFormat="1">
      <alignment horizontal="center" shrinkToFit="0" wrapText="1"/>
    </xf>
    <xf borderId="0" fillId="5" fontId="11" numFmtId="49" xfId="0" applyAlignment="1" applyFont="1" applyNumberFormat="1">
      <alignment horizontal="center"/>
    </xf>
    <xf borderId="0" fillId="5" fontId="11" numFmtId="0" xfId="0" applyAlignment="1" applyFont="1">
      <alignment horizontal="center"/>
    </xf>
    <xf borderId="0" fillId="5" fontId="11" numFmtId="0" xfId="0" applyAlignment="1" applyFont="1">
      <alignment horizontal="center" readingOrder="0"/>
    </xf>
    <xf borderId="0" fillId="5" fontId="12" numFmtId="49" xfId="0" applyAlignment="1" applyFont="1" applyNumberFormat="1">
      <alignment horizontal="center"/>
    </xf>
    <xf borderId="0" fillId="5" fontId="12" numFmtId="0" xfId="0" applyAlignment="1" applyFont="1">
      <alignment horizontal="center"/>
    </xf>
    <xf borderId="0" fillId="5" fontId="13" numFmtId="0" xfId="0" applyFont="1"/>
    <xf borderId="0" fillId="5" fontId="13" numFmtId="0" xfId="0" applyAlignment="1" applyFont="1">
      <alignment horizontal="center"/>
    </xf>
    <xf borderId="0" fillId="5" fontId="6" numFmtId="0" xfId="0" applyAlignment="1" applyFont="1">
      <alignment horizontal="center"/>
    </xf>
    <xf borderId="0" fillId="5" fontId="6" numFmtId="0" xfId="0" applyAlignment="1" applyFont="1">
      <alignment horizontal="center" vertical="bottom"/>
    </xf>
    <xf borderId="0" fillId="5" fontId="6" numFmtId="0" xfId="0" applyAlignment="1" applyFont="1">
      <alignment horizontal="center" shrinkToFit="0" vertical="bottom" wrapText="1"/>
    </xf>
    <xf borderId="0" fillId="5" fontId="6" numFmtId="0" xfId="0" applyAlignment="1" applyFont="1">
      <alignment horizontal="center" readingOrder="0" shrinkToFit="0" vertical="bottom" wrapText="1"/>
    </xf>
    <xf borderId="0" fillId="5" fontId="6" numFmtId="0" xfId="0" applyFont="1"/>
    <xf borderId="0" fillId="5" fontId="14" numFmtId="0" xfId="0" applyFont="1"/>
    <xf borderId="0" fillId="5" fontId="6" numFmtId="0" xfId="0" applyAlignment="1" applyFont="1">
      <alignment vertical="bottom"/>
    </xf>
    <xf borderId="0" fillId="5" fontId="15" numFmtId="0" xfId="0" applyFont="1"/>
    <xf borderId="0" fillId="5" fontId="6" numFmtId="49" xfId="0" applyFont="1" applyNumberFormat="1"/>
    <xf borderId="0" fillId="5" fontId="6" numFmtId="0" xfId="0" applyAlignment="1" applyFont="1">
      <alignment horizontal="center" readingOrder="0" vertical="bottom"/>
    </xf>
    <xf borderId="0" fillId="5" fontId="6" numFmtId="49" xfId="0" applyAlignment="1" applyFont="1" applyNumberFormat="1">
      <alignment horizontal="center" vertical="bottom"/>
    </xf>
    <xf borderId="0" fillId="5" fontId="6" numFmtId="3" xfId="0" applyAlignment="1" applyFont="1" applyNumberFormat="1">
      <alignment horizontal="center" vertical="bottom"/>
    </xf>
    <xf borderId="0" fillId="5" fontId="6" numFmtId="0" xfId="0" applyAlignment="1" applyFont="1">
      <alignment horizontal="center" shrinkToFit="0" wrapText="1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Alignment="1" applyFont="1">
      <alignment readingOrder="0" vertical="top"/>
    </xf>
    <xf borderId="0" fillId="6" fontId="4" numFmtId="0" xfId="0" applyAlignment="1" applyFill="1" applyFont="1">
      <alignment readingOrder="0" vertical="top"/>
    </xf>
    <xf borderId="0" fillId="7" fontId="4" numFmtId="0" xfId="0" applyAlignment="1" applyFill="1" applyFont="1">
      <alignment readingOrder="0" vertical="top"/>
    </xf>
    <xf borderId="0" fillId="7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readingOrder="0"/>
    </xf>
    <xf borderId="0" fillId="8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8" fontId="18" numFmtId="0" xfId="0" applyAlignment="1" applyFont="1">
      <alignment readingOrder="0"/>
    </xf>
    <xf borderId="0" fillId="0" fontId="19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0" fontId="19" numFmtId="0" xfId="0" applyAlignment="1" applyFont="1">
      <alignment horizontal="center" readingOrder="0" shrinkToFit="0" wrapText="1"/>
    </xf>
    <xf borderId="0" fillId="0" fontId="18" numFmtId="0" xfId="0" applyAlignment="1" applyFont="1">
      <alignment readingOrder="0"/>
    </xf>
    <xf borderId="0" fillId="0" fontId="20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9" fontId="9" numFmtId="0" xfId="0" applyAlignment="1" applyFill="1" applyFont="1">
      <alignment readingOrder="0"/>
    </xf>
    <xf borderId="0" fillId="9" fontId="9" numFmtId="0" xfId="0" applyFont="1"/>
    <xf borderId="1" fillId="9" fontId="9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2" fillId="0" fontId="4" numFmtId="0" xfId="0" applyBorder="1" applyFont="1"/>
    <xf borderId="0" fillId="0" fontId="23" numFmtId="0" xfId="0" applyAlignment="1" applyFont="1">
      <alignment readingOrder="0"/>
    </xf>
    <xf borderId="2" fillId="0" fontId="21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24" numFmtId="0" xfId="0" applyAlignment="1" applyFont="1">
      <alignment horizontal="center" readingOrder="0" shrinkToFit="0" wrapText="0"/>
    </xf>
    <xf borderId="0" fillId="0" fontId="24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left" readingOrder="0" shrinkToFit="0" wrapText="1"/>
    </xf>
    <xf borderId="0" fillId="0" fontId="19" numFmtId="0" xfId="0" applyAlignment="1" applyFont="1">
      <alignment horizontal="center" shrinkToFit="0" wrapText="0"/>
    </xf>
    <xf borderId="0" fillId="8" fontId="19" numFmtId="0" xfId="0" applyAlignment="1" applyFont="1">
      <alignment horizontal="center" readingOrder="0" shrinkToFit="0" wrapText="0"/>
    </xf>
    <xf borderId="0" fillId="8" fontId="4" numFmtId="0" xfId="0" applyAlignment="1" applyFont="1">
      <alignment horizontal="left"/>
    </xf>
    <xf borderId="0" fillId="8" fontId="4" numFmtId="0" xfId="0" applyFont="1"/>
    <xf borderId="0" fillId="8" fontId="19" numFmtId="0" xfId="0" applyAlignment="1" applyFont="1">
      <alignment horizontal="left" readingOrder="0" shrinkToFit="0" wrapText="1"/>
    </xf>
    <xf borderId="0" fillId="8" fontId="19" numFmtId="0" xfId="0" applyAlignment="1" applyFont="1">
      <alignment horizontal="right" readingOrder="0" shrinkToFit="0" vertical="bottom" wrapText="0"/>
    </xf>
    <xf borderId="0" fillId="10" fontId="19" numFmtId="0" xfId="0" applyAlignment="1" applyFill="1" applyFont="1">
      <alignment horizontal="center" readingOrder="0" shrinkToFit="0" wrapText="0"/>
    </xf>
    <xf borderId="0" fillId="10" fontId="19" numFmtId="0" xfId="0" applyAlignment="1" applyFont="1">
      <alignment horizontal="left" readingOrder="0" shrinkToFit="0" wrapText="1"/>
    </xf>
    <xf borderId="0" fillId="10" fontId="19" numFmtId="0" xfId="0" applyAlignment="1" applyFont="1">
      <alignment horizontal="center" readingOrder="0" shrinkToFit="0" wrapText="1"/>
    </xf>
    <xf borderId="0" fillId="10" fontId="19" numFmtId="0" xfId="0" applyAlignment="1" applyFont="1">
      <alignment horizontal="right" readingOrder="0" shrinkToFit="0" vertical="bottom" wrapText="0"/>
    </xf>
    <xf borderId="0" fillId="10" fontId="4" numFmtId="0" xfId="0" applyFont="1"/>
    <xf borderId="0" fillId="0" fontId="4" numFmtId="0" xfId="0" applyAlignment="1" applyFont="1">
      <alignment horizontal="left"/>
    </xf>
    <xf borderId="0" fillId="8" fontId="24" numFmtId="0" xfId="0" applyAlignment="1" applyFont="1">
      <alignment horizontal="center" readingOrder="0" shrinkToFit="0" wrapText="0"/>
    </xf>
    <xf borderId="0" fillId="8" fontId="19" numFmtId="0" xfId="0" applyAlignment="1" applyFont="1">
      <alignment horizontal="center" readingOrder="0" shrinkToFit="0" wrapText="1"/>
    </xf>
    <xf borderId="0" fillId="0" fontId="19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4" numFmtId="0" xfId="0" applyAlignment="1" applyFont="1">
      <alignment horizontal="left" readingOrder="0" shrinkToFit="0" wrapText="0"/>
    </xf>
    <xf borderId="0" fillId="0" fontId="19" numFmtId="0" xfId="0" applyAlignment="1" applyFont="1">
      <alignment horizontal="left" readingOrder="0" shrinkToFit="0" wrapText="0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left" shrinkToFit="0" wrapText="0"/>
    </xf>
    <xf borderId="0" fillId="0" fontId="19" numFmtId="0" xfId="0" applyAlignment="1" applyFont="1">
      <alignment horizontal="left" shrinkToFit="0" vertical="bottom" wrapText="0"/>
    </xf>
    <xf borderId="0" fillId="0" fontId="25" numFmtId="0" xfId="0" applyAlignment="1" applyFont="1">
      <alignment readingOrder="0"/>
    </xf>
    <xf borderId="0" fillId="0" fontId="25" numFmtId="0" xfId="0" applyFont="1"/>
    <xf borderId="0" fillId="0" fontId="26" numFmtId="0" xfId="0" applyFont="1"/>
    <xf borderId="0" fillId="0" fontId="27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4" numFmtId="9" xfId="0" applyAlignment="1" applyFont="1" applyNumberFormat="1">
      <alignment readingOrder="0"/>
    </xf>
    <xf borderId="0" fillId="5" fontId="11" numFmtId="0" xfId="0" applyAlignment="1" applyFont="1">
      <alignment horizontal="center" shrinkToFit="0" wrapText="1"/>
    </xf>
    <xf borderId="0" fillId="5" fontId="11" numFmtId="0" xfId="0" applyAlignment="1" applyFont="1">
      <alignment horizontal="center" readingOrder="0" shrinkToFit="0" wrapText="1"/>
    </xf>
    <xf borderId="0" fillId="5" fontId="6" numFmtId="0" xfId="0" applyAlignment="1" applyFont="1">
      <alignment horizontal="center" readingOrder="0" shrinkToFit="0" vertical="bottom" wrapText="1"/>
    </xf>
    <xf borderId="0" fillId="5" fontId="6" numFmtId="0" xfId="0" applyAlignment="1" applyFont="1">
      <alignment readingOrder="0" vertical="bottom"/>
    </xf>
    <xf borderId="0" fillId="5" fontId="12" numFmtId="49" xfId="0" applyAlignment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11" fontId="11" numFmtId="0" xfId="0" applyAlignment="1" applyFill="1" applyFont="1">
      <alignment horizontal="center" readingOrder="0" shrinkToFit="0" wrapText="1"/>
    </xf>
    <xf borderId="0" fillId="11" fontId="11" numFmtId="0" xfId="0" applyAlignment="1" applyFont="1">
      <alignment horizontal="center" shrinkToFit="0" wrapText="1"/>
    </xf>
    <xf borderId="0" fillId="11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6" numFmtId="0" xfId="0" applyFont="1"/>
    <xf borderId="0" fillId="0" fontId="13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12" numFmtId="0" xfId="0" applyAlignment="1" applyFont="1">
      <alignment horizontal="center" vertical="bottom"/>
    </xf>
    <xf borderId="0" fillId="0" fontId="15" numFmtId="0" xfId="0" applyFont="1"/>
    <xf borderId="0" fillId="0" fontId="6" numFmtId="165" xfId="0" applyFont="1" applyNumberFormat="1"/>
    <xf borderId="0" fillId="0" fontId="6" numFmtId="49" xfId="0" applyAlignment="1" applyFont="1" applyNumberFormat="1">
      <alignment horizontal="center"/>
    </xf>
    <xf borderId="0" fillId="0" fontId="6" numFmtId="0" xfId="0" applyAlignment="1" applyFont="1">
      <alignment horizontal="center" vertical="bottom"/>
    </xf>
    <xf borderId="0" fillId="5" fontId="6" numFmtId="0" xfId="0" applyAlignment="1" applyFont="1">
      <alignment horizontal="center" readingOrder="0" shrinkToFit="0" vertical="bottom" wrapText="1"/>
    </xf>
    <xf borderId="0" fillId="5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4.75"/>
    <col customWidth="1" min="2" max="3" width="5.5"/>
    <col customWidth="1" min="4" max="4" width="14.5"/>
    <col customWidth="1" min="5" max="5" width="22.13"/>
    <col customWidth="1" min="6" max="6" width="3.5"/>
    <col customWidth="1" min="7" max="7" width="5.63"/>
    <col customWidth="1" min="8" max="8" width="12.13"/>
    <col customWidth="1" min="9" max="9" width="18.75"/>
    <col customWidth="1" min="10" max="10" width="5.38"/>
    <col customWidth="1" min="11" max="11" width="5.5"/>
    <col customWidth="1" min="12" max="12" width="18.25"/>
    <col customWidth="1" min="13" max="13" width="12.0"/>
    <col customWidth="1" min="14" max="15" width="5.75"/>
    <col customWidth="1" min="16" max="16" width="17.38"/>
    <col customWidth="1" min="17" max="17" width="31.0"/>
    <col customWidth="1" min="18" max="18" width="4.88"/>
    <col customWidth="1" min="19" max="19" width="5.5"/>
    <col customWidth="1" min="20" max="20" width="17.38"/>
    <col customWidth="1" min="21" max="21" width="14.75"/>
    <col customWidth="1" min="22" max="22" width="3.88"/>
    <col customWidth="1" min="23" max="23" width="5.38"/>
    <col customWidth="1" min="24" max="24" width="14.5"/>
    <col customWidth="1" min="25" max="25" width="17.88"/>
  </cols>
  <sheetData>
    <row r="1" ht="23.25" customHeight="1">
      <c r="A1" s="1"/>
      <c r="B1" s="2"/>
      <c r="C1" s="2"/>
      <c r="D1" s="2" t="s">
        <v>0</v>
      </c>
      <c r="E1" s="2"/>
      <c r="F1" s="3"/>
      <c r="G1" s="4"/>
      <c r="H1" s="3"/>
      <c r="I1" s="3"/>
      <c r="J1" s="3"/>
      <c r="K1" s="2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5" t="s">
        <v>2</v>
      </c>
      <c r="B2" s="6" t="s">
        <v>0</v>
      </c>
      <c r="C2" s="7" t="s">
        <v>1</v>
      </c>
      <c r="D2" s="8" t="s">
        <v>3</v>
      </c>
      <c r="F2" s="5"/>
      <c r="G2" s="6" t="s">
        <v>0</v>
      </c>
      <c r="H2" s="8" t="s">
        <v>4</v>
      </c>
      <c r="J2" s="8"/>
      <c r="K2" s="9" t="s">
        <v>1</v>
      </c>
      <c r="L2" s="8" t="s">
        <v>5</v>
      </c>
      <c r="O2" s="9" t="s">
        <v>1</v>
      </c>
      <c r="P2" s="10" t="s">
        <v>6</v>
      </c>
      <c r="R2" s="11"/>
      <c r="S2" s="9" t="s">
        <v>1</v>
      </c>
      <c r="T2" s="10" t="s">
        <v>7</v>
      </c>
      <c r="V2" s="12"/>
      <c r="W2" s="9" t="s">
        <v>1</v>
      </c>
      <c r="X2" s="10" t="s">
        <v>8</v>
      </c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>
      <c r="A3" s="5"/>
      <c r="B3" s="6"/>
      <c r="C3" s="7"/>
      <c r="D3" s="8" t="s">
        <v>9</v>
      </c>
      <c r="F3" s="5"/>
      <c r="G3" s="6"/>
      <c r="H3" s="8" t="s">
        <v>10</v>
      </c>
      <c r="J3" s="8"/>
      <c r="K3" s="9"/>
      <c r="L3" s="8"/>
      <c r="M3" s="8"/>
      <c r="N3" s="8"/>
      <c r="O3" s="9"/>
      <c r="P3" s="10"/>
      <c r="Q3" s="10"/>
      <c r="R3" s="11"/>
      <c r="S3" s="9"/>
      <c r="T3" s="10"/>
      <c r="U3" s="10"/>
      <c r="V3" s="12"/>
      <c r="W3" s="9"/>
      <c r="X3" s="10"/>
      <c r="Y3" s="10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>
      <c r="A4" s="5">
        <v>1.0</v>
      </c>
      <c r="B4" s="6" t="s">
        <v>11</v>
      </c>
      <c r="C4" s="13"/>
      <c r="D4" s="5" t="s">
        <v>12</v>
      </c>
      <c r="E4" s="5" t="s">
        <v>13</v>
      </c>
      <c r="F4" s="5">
        <v>6.0</v>
      </c>
      <c r="G4" s="6" t="s">
        <v>11</v>
      </c>
      <c r="H4" s="12" t="s">
        <v>14</v>
      </c>
      <c r="I4" s="5" t="s">
        <v>15</v>
      </c>
      <c r="J4" s="5">
        <v>3.0</v>
      </c>
      <c r="K4" s="7" t="s">
        <v>11</v>
      </c>
      <c r="L4" s="5" t="s">
        <v>16</v>
      </c>
      <c r="M4" s="14" t="s">
        <v>17</v>
      </c>
      <c r="N4" s="12">
        <v>5.0</v>
      </c>
      <c r="O4" s="7" t="s">
        <v>11</v>
      </c>
      <c r="P4" s="12" t="s">
        <v>18</v>
      </c>
      <c r="Q4" s="5" t="s">
        <v>19</v>
      </c>
      <c r="R4" s="5">
        <v>11.0</v>
      </c>
      <c r="S4" s="7" t="s">
        <v>11</v>
      </c>
      <c r="T4" s="5" t="s">
        <v>20</v>
      </c>
      <c r="U4" s="11"/>
      <c r="V4" s="5">
        <v>14.0</v>
      </c>
      <c r="W4" s="7" t="s">
        <v>11</v>
      </c>
      <c r="X4" s="12" t="s">
        <v>21</v>
      </c>
      <c r="Y4" s="5" t="s">
        <v>22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>
      <c r="A5" s="5">
        <v>2.0</v>
      </c>
      <c r="B5" s="6" t="s">
        <v>11</v>
      </c>
      <c r="C5" s="13"/>
      <c r="D5" s="5" t="s">
        <v>23</v>
      </c>
      <c r="E5" s="5" t="s">
        <v>24</v>
      </c>
      <c r="F5" s="5">
        <v>7.0</v>
      </c>
      <c r="G5" s="6" t="s">
        <v>11</v>
      </c>
      <c r="H5" s="12" t="s">
        <v>25</v>
      </c>
      <c r="I5" s="5" t="s">
        <v>26</v>
      </c>
      <c r="J5" s="5">
        <v>4.0</v>
      </c>
      <c r="K5" s="7" t="s">
        <v>11</v>
      </c>
      <c r="L5" s="5" t="s">
        <v>27</v>
      </c>
      <c r="M5" s="5" t="s">
        <v>28</v>
      </c>
      <c r="N5" s="5">
        <v>6.0</v>
      </c>
      <c r="O5" s="7" t="s">
        <v>11</v>
      </c>
      <c r="P5" s="12" t="s">
        <v>29</v>
      </c>
      <c r="Q5" s="5" t="s">
        <v>30</v>
      </c>
      <c r="R5" s="5">
        <v>12.0</v>
      </c>
      <c r="S5" s="7" t="s">
        <v>11</v>
      </c>
      <c r="T5" s="5" t="s">
        <v>31</v>
      </c>
      <c r="U5" s="5" t="s">
        <v>32</v>
      </c>
      <c r="V5" s="11"/>
      <c r="W5" s="11"/>
      <c r="X5" s="15"/>
      <c r="Y5" s="5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>
      <c r="A6" s="5">
        <v>3.0</v>
      </c>
      <c r="B6" s="6" t="s">
        <v>11</v>
      </c>
      <c r="C6" s="13"/>
      <c r="D6" s="5" t="s">
        <v>33</v>
      </c>
      <c r="E6" s="11"/>
      <c r="F6" s="5">
        <v>8.0</v>
      </c>
      <c r="G6" s="6" t="s">
        <v>11</v>
      </c>
      <c r="H6" s="12" t="s">
        <v>34</v>
      </c>
      <c r="I6" s="5" t="s">
        <v>35</v>
      </c>
      <c r="J6" s="11"/>
      <c r="K6" s="7" t="s">
        <v>36</v>
      </c>
      <c r="L6" s="12" t="s">
        <v>37</v>
      </c>
      <c r="M6" s="11"/>
      <c r="N6" s="12">
        <v>7.0</v>
      </c>
      <c r="O6" s="7" t="s">
        <v>11</v>
      </c>
      <c r="P6" s="12" t="s">
        <v>38</v>
      </c>
      <c r="Q6" s="14" t="s">
        <v>39</v>
      </c>
      <c r="R6" s="5">
        <v>13.0</v>
      </c>
      <c r="S6" s="7" t="s">
        <v>11</v>
      </c>
      <c r="T6" s="5" t="s">
        <v>40</v>
      </c>
      <c r="U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>
      <c r="A7" s="5">
        <v>4.0</v>
      </c>
      <c r="B7" s="6" t="s">
        <v>11</v>
      </c>
      <c r="C7" s="13"/>
      <c r="D7" s="5" t="s">
        <v>41</v>
      </c>
      <c r="E7" s="5" t="s">
        <v>42</v>
      </c>
      <c r="F7" s="5">
        <v>9.0</v>
      </c>
      <c r="G7" s="6" t="s">
        <v>11</v>
      </c>
      <c r="H7" s="15" t="s">
        <v>43</v>
      </c>
      <c r="I7" s="5"/>
      <c r="J7" s="12"/>
      <c r="K7" s="7" t="s">
        <v>36</v>
      </c>
      <c r="L7" s="12" t="s">
        <v>44</v>
      </c>
      <c r="M7" s="11"/>
      <c r="N7" s="12">
        <v>8.0</v>
      </c>
      <c r="O7" s="7" t="s">
        <v>11</v>
      </c>
      <c r="P7" s="12" t="s">
        <v>45</v>
      </c>
      <c r="Q7" s="14" t="s">
        <v>46</v>
      </c>
      <c r="R7" s="5"/>
      <c r="S7" s="5"/>
      <c r="U7" s="11"/>
      <c r="V7" s="11"/>
      <c r="W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>
      <c r="A8" s="5">
        <v>5.0</v>
      </c>
      <c r="B8" s="6" t="s">
        <v>11</v>
      </c>
      <c r="C8" s="5"/>
      <c r="D8" s="5" t="s">
        <v>47</v>
      </c>
      <c r="E8" s="5" t="s">
        <v>48</v>
      </c>
      <c r="F8" s="5">
        <v>10.0</v>
      </c>
      <c r="G8" s="6" t="s">
        <v>11</v>
      </c>
      <c r="H8" s="16" t="s">
        <v>49</v>
      </c>
      <c r="I8" s="17" t="s">
        <v>50</v>
      </c>
      <c r="J8" s="12"/>
      <c r="K8" s="12"/>
      <c r="L8" s="13"/>
      <c r="M8" s="13"/>
      <c r="N8" s="12">
        <v>9.0</v>
      </c>
      <c r="O8" s="7" t="s">
        <v>11</v>
      </c>
      <c r="P8" s="12" t="s">
        <v>51</v>
      </c>
      <c r="Q8" s="5" t="s">
        <v>52</v>
      </c>
      <c r="R8" s="11"/>
      <c r="S8" s="11"/>
      <c r="T8" s="12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>
      <c r="A9" s="5">
        <v>1.0</v>
      </c>
      <c r="B9" s="6" t="s">
        <v>36</v>
      </c>
      <c r="C9" s="7" t="s">
        <v>11</v>
      </c>
      <c r="D9" s="5" t="s">
        <v>53</v>
      </c>
      <c r="E9" s="5" t="s">
        <v>54</v>
      </c>
      <c r="F9" s="12"/>
      <c r="G9" s="18" t="s">
        <v>55</v>
      </c>
      <c r="J9" s="15"/>
      <c r="K9" s="15"/>
      <c r="L9" s="15"/>
      <c r="M9" s="11"/>
      <c r="N9" s="5">
        <v>10.0</v>
      </c>
      <c r="O9" s="7" t="s">
        <v>11</v>
      </c>
      <c r="P9" s="5" t="s">
        <v>56</v>
      </c>
      <c r="Q9" s="14" t="s">
        <v>17</v>
      </c>
      <c r="R9" s="11"/>
      <c r="S9" s="11"/>
      <c r="T9" s="11"/>
      <c r="U9" s="11"/>
      <c r="V9" s="11"/>
      <c r="W9" s="11"/>
      <c r="X9" s="15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>
      <c r="A10" s="5">
        <v>2.0</v>
      </c>
      <c r="B10" s="6" t="s">
        <v>36</v>
      </c>
      <c r="C10" s="7" t="s">
        <v>11</v>
      </c>
      <c r="D10" s="5" t="s">
        <v>57</v>
      </c>
      <c r="E10" s="13"/>
      <c r="F10" s="15"/>
      <c r="G10" s="18" t="s">
        <v>58</v>
      </c>
      <c r="J10" s="15"/>
      <c r="N10" s="15"/>
      <c r="O10" s="7" t="s">
        <v>36</v>
      </c>
      <c r="P10" s="5" t="s">
        <v>59</v>
      </c>
      <c r="Q10" s="5" t="s">
        <v>60</v>
      </c>
      <c r="R10" s="11"/>
      <c r="S10" s="11"/>
      <c r="T10" s="11"/>
      <c r="U10" s="11"/>
      <c r="V10" s="11"/>
      <c r="W10" s="11"/>
      <c r="X10" s="15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>
      <c r="A11" s="13"/>
      <c r="B11" s="13"/>
      <c r="C11" s="7" t="s">
        <v>36</v>
      </c>
      <c r="D11" s="5" t="s">
        <v>61</v>
      </c>
      <c r="E11" s="11"/>
      <c r="F11" s="15"/>
      <c r="G11" s="15"/>
      <c r="J11" s="15"/>
      <c r="N11" s="12"/>
      <c r="O11" s="7" t="s">
        <v>36</v>
      </c>
      <c r="P11" s="12" t="s">
        <v>62</v>
      </c>
      <c r="Q11" s="5" t="s">
        <v>63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>
      <c r="A12" s="5"/>
      <c r="B12" s="13"/>
      <c r="C12" s="7" t="s">
        <v>36</v>
      </c>
      <c r="D12" s="5" t="s">
        <v>64</v>
      </c>
      <c r="E12" s="11"/>
      <c r="F12" s="15"/>
      <c r="G12" s="15"/>
      <c r="H12" s="15"/>
      <c r="I12" s="15"/>
      <c r="J12" s="15"/>
      <c r="N12" s="12"/>
      <c r="O12" s="7" t="s">
        <v>36</v>
      </c>
      <c r="P12" s="12" t="s">
        <v>65</v>
      </c>
      <c r="Q12" s="5" t="s">
        <v>66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>
      <c r="A13" s="5"/>
      <c r="B13" s="5"/>
      <c r="C13" s="7" t="s">
        <v>36</v>
      </c>
      <c r="D13" s="5" t="s">
        <v>67</v>
      </c>
      <c r="E13" s="11"/>
      <c r="F13" s="15"/>
      <c r="G13" s="15"/>
      <c r="H13" s="15"/>
      <c r="I13" s="15"/>
      <c r="J13" s="15"/>
      <c r="N13" s="12"/>
      <c r="O13" s="7" t="s">
        <v>36</v>
      </c>
      <c r="P13" s="12" t="s">
        <v>68</v>
      </c>
      <c r="Q13" s="5" t="s">
        <v>69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>
      <c r="A14" s="5"/>
      <c r="F14" s="15"/>
      <c r="G14" s="15"/>
      <c r="H14" s="15"/>
      <c r="I14" s="15"/>
      <c r="J14" s="15"/>
      <c r="K14" s="15"/>
      <c r="L14" s="15"/>
      <c r="M14" s="11"/>
      <c r="N14" s="12"/>
      <c r="O14" s="7" t="s">
        <v>36</v>
      </c>
      <c r="P14" s="12" t="s">
        <v>70</v>
      </c>
      <c r="Q14" s="5" t="s">
        <v>71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>
      <c r="A15" s="13"/>
      <c r="F15" s="15"/>
      <c r="G15" s="15"/>
      <c r="H15" s="15"/>
      <c r="I15" s="15"/>
      <c r="J15" s="15"/>
      <c r="K15" s="15"/>
      <c r="L15" s="15"/>
      <c r="M15" s="11"/>
      <c r="N15" s="12"/>
      <c r="O15" s="7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>
      <c r="A16" s="11"/>
      <c r="B16" s="11"/>
      <c r="C16" s="13"/>
      <c r="D16" s="13"/>
      <c r="E16" s="11"/>
      <c r="F16" s="10"/>
      <c r="G16" s="10"/>
      <c r="H16" s="10"/>
      <c r="I16" s="10"/>
      <c r="J16" s="10"/>
      <c r="K16" s="10"/>
      <c r="L16" s="11"/>
      <c r="M16" s="11"/>
      <c r="N16" s="12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>
      <c r="A17" s="11"/>
      <c r="B17" s="11"/>
      <c r="C17" s="13"/>
      <c r="D17" s="13"/>
      <c r="E17" s="13"/>
      <c r="F17" s="11"/>
      <c r="G17" s="11"/>
      <c r="H17" s="12"/>
      <c r="I17" s="12"/>
      <c r="J17" s="11"/>
      <c r="K17" s="11"/>
      <c r="L17" s="11"/>
      <c r="M17" s="11"/>
      <c r="N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>
      <c r="A18" s="11"/>
      <c r="B18" s="11"/>
      <c r="C18" s="13"/>
      <c r="D18" s="13"/>
      <c r="E18" s="11"/>
      <c r="F18" s="12"/>
      <c r="G18" s="12"/>
      <c r="H18" s="12"/>
      <c r="I18" s="12"/>
      <c r="J18" s="12"/>
      <c r="K18" s="12"/>
      <c r="L18" s="11"/>
      <c r="M18" s="11"/>
      <c r="N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>
      <c r="A19" s="11"/>
      <c r="B19" s="11"/>
      <c r="C19" s="13"/>
      <c r="D19" s="11"/>
      <c r="E19" s="11"/>
      <c r="F19" s="15"/>
      <c r="G19" s="15"/>
      <c r="H19" s="15"/>
      <c r="I19" s="15"/>
      <c r="J19" s="15"/>
      <c r="K19" s="15"/>
      <c r="L19" s="11"/>
      <c r="M19" s="11"/>
      <c r="N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>
      <c r="A20" s="11"/>
      <c r="B20" s="11"/>
      <c r="C20" s="13"/>
      <c r="D20" s="11"/>
      <c r="E20" s="11"/>
      <c r="F20" s="12"/>
      <c r="G20" s="12"/>
      <c r="H20" s="12"/>
      <c r="I20" s="12"/>
      <c r="J20" s="12"/>
      <c r="K20" s="12"/>
      <c r="L20" s="11"/>
      <c r="M20" s="11"/>
      <c r="N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>
      <c r="A21" s="11"/>
      <c r="B21" s="11"/>
      <c r="C21" s="13"/>
      <c r="D21" s="11"/>
      <c r="E21" s="11"/>
      <c r="F21" s="12"/>
      <c r="G21" s="12"/>
      <c r="H21" s="12"/>
      <c r="I21" s="12"/>
      <c r="J21" s="12"/>
      <c r="K21" s="12"/>
      <c r="L21" s="11"/>
      <c r="M21" s="11"/>
      <c r="N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>
      <c r="A22" s="11"/>
      <c r="B22" s="11"/>
      <c r="C22" s="13"/>
      <c r="D22" s="11"/>
      <c r="E22" s="11"/>
      <c r="F22" s="15"/>
      <c r="G22" s="15"/>
      <c r="H22" s="15"/>
      <c r="I22" s="15"/>
      <c r="J22" s="15"/>
      <c r="K22" s="15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>
      <c r="A23" s="11"/>
      <c r="B23" s="11"/>
      <c r="C23" s="13"/>
      <c r="D23" s="11"/>
      <c r="E23" s="11"/>
      <c r="F23" s="15"/>
      <c r="G23" s="15"/>
      <c r="H23" s="15"/>
      <c r="I23" s="15"/>
      <c r="J23" s="15"/>
      <c r="K23" s="15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>
      <c r="A24" s="11"/>
      <c r="B24" s="11"/>
      <c r="C24" s="13"/>
      <c r="D24" s="11"/>
      <c r="E24" s="11"/>
      <c r="F24" s="10"/>
      <c r="G24" s="10"/>
      <c r="H24" s="10"/>
      <c r="I24" s="10"/>
      <c r="J24" s="10"/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>
      <c r="A25" s="11"/>
      <c r="B25" s="11"/>
      <c r="C25" s="13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>
      <c r="A26" s="11"/>
      <c r="B26" s="11"/>
      <c r="C26" s="13"/>
      <c r="D26" s="11"/>
      <c r="E26" s="11"/>
      <c r="F26" s="5"/>
      <c r="G26" s="5"/>
      <c r="H26" s="5"/>
      <c r="I26" s="5"/>
      <c r="J26" s="5"/>
      <c r="K26" s="5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>
      <c r="A27" s="11"/>
      <c r="B27" s="11"/>
      <c r="C27" s="13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>
      <c r="A28" s="11"/>
      <c r="B28" s="11"/>
      <c r="C28" s="13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>
      <c r="A29" s="15"/>
      <c r="B29" s="15"/>
      <c r="C29" s="13"/>
      <c r="D29" s="15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>
      <c r="A30" s="15"/>
      <c r="B30" s="15"/>
      <c r="C30" s="13"/>
      <c r="D30" s="15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>
      <c r="A31" s="11"/>
      <c r="B31" s="11"/>
      <c r="C31" s="13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>
      <c r="A32" s="11"/>
      <c r="B32" s="11"/>
      <c r="C32" s="13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>
      <c r="A33" s="11"/>
      <c r="B33" s="11"/>
      <c r="C33" s="13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>
      <c r="A34" s="11"/>
      <c r="B34" s="11"/>
      <c r="C34" s="13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>
      <c r="A35" s="11"/>
      <c r="B35" s="11"/>
      <c r="C35" s="13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>
      <c r="A36" s="11"/>
      <c r="B36" s="11"/>
      <c r="C36" s="13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>
      <c r="A37" s="11"/>
      <c r="B37" s="11"/>
      <c r="C37" s="13"/>
      <c r="D37" s="11"/>
      <c r="E37" s="5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>
      <c r="A38" s="11"/>
      <c r="B38" s="11"/>
      <c r="C38" s="13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>
      <c r="A39" s="11"/>
      <c r="B39" s="11"/>
      <c r="C39" s="13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>
      <c r="A40" s="11"/>
      <c r="B40" s="11"/>
      <c r="C40" s="13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>
      <c r="A41" s="11"/>
      <c r="B41" s="11"/>
      <c r="C41" s="13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>
      <c r="A42" s="11"/>
      <c r="B42" s="11"/>
      <c r="C42" s="13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>
      <c r="A43" s="11"/>
      <c r="B43" s="19"/>
      <c r="C43" s="13"/>
      <c r="D43" s="11"/>
      <c r="E43" s="11"/>
      <c r="F43" s="11"/>
      <c r="G43" s="1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>
      <c r="A44" s="11"/>
      <c r="B44" s="19"/>
      <c r="C44" s="13"/>
      <c r="D44" s="11"/>
      <c r="E44" s="11"/>
      <c r="F44" s="11"/>
      <c r="G44" s="1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>
      <c r="A45" s="11"/>
      <c r="B45" s="19"/>
      <c r="C45" s="13"/>
      <c r="D45" s="11"/>
      <c r="E45" s="11"/>
      <c r="F45" s="11"/>
      <c r="G45" s="1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>
      <c r="A46" s="11"/>
      <c r="B46" s="19"/>
      <c r="C46" s="13"/>
      <c r="D46" s="11"/>
      <c r="E46" s="11"/>
      <c r="F46" s="11"/>
      <c r="G46" s="1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>
      <c r="A47" s="11"/>
      <c r="B47" s="19"/>
      <c r="C47" s="13"/>
      <c r="D47" s="11"/>
      <c r="E47" s="11"/>
      <c r="F47" s="11"/>
      <c r="G47" s="1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>
      <c r="A48" s="11"/>
      <c r="B48" s="19"/>
      <c r="C48" s="13"/>
      <c r="D48" s="11"/>
      <c r="E48" s="11"/>
      <c r="F48" s="11"/>
      <c r="G48" s="1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>
      <c r="A49" s="11"/>
      <c r="B49" s="19"/>
      <c r="C49" s="13"/>
      <c r="D49" s="11"/>
      <c r="E49" s="11"/>
      <c r="F49" s="11"/>
      <c r="G49" s="1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>
      <c r="A50" s="11"/>
      <c r="B50" s="19"/>
      <c r="C50" s="13"/>
      <c r="D50" s="11"/>
      <c r="E50" s="11"/>
      <c r="F50" s="11"/>
      <c r="G50" s="1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>
      <c r="A51" s="11"/>
      <c r="B51" s="19"/>
      <c r="C51" s="13"/>
      <c r="D51" s="11"/>
      <c r="E51" s="11"/>
      <c r="F51" s="11"/>
      <c r="G51" s="1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>
      <c r="A52" s="11"/>
      <c r="B52" s="19"/>
      <c r="C52" s="13"/>
      <c r="D52" s="11"/>
      <c r="E52" s="11"/>
      <c r="F52" s="11"/>
      <c r="G52" s="1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>
      <c r="A53" s="11"/>
      <c r="B53" s="19"/>
      <c r="C53" s="13"/>
      <c r="D53" s="11"/>
      <c r="E53" s="11"/>
      <c r="F53" s="11"/>
      <c r="G53" s="1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>
      <c r="A54" s="11"/>
      <c r="B54" s="19"/>
      <c r="C54" s="13"/>
      <c r="D54" s="11"/>
      <c r="E54" s="11"/>
      <c r="F54" s="11"/>
      <c r="G54" s="1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>
      <c r="A55" s="11"/>
      <c r="B55" s="19"/>
      <c r="C55" s="13"/>
      <c r="D55" s="11"/>
      <c r="E55" s="11"/>
      <c r="F55" s="11"/>
      <c r="G55" s="1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>
      <c r="A56" s="11"/>
      <c r="B56" s="19"/>
      <c r="C56" s="13"/>
      <c r="D56" s="11"/>
      <c r="E56" s="11"/>
      <c r="F56" s="11"/>
      <c r="G56" s="1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>
      <c r="A57" s="11"/>
      <c r="B57" s="19"/>
      <c r="C57" s="13"/>
      <c r="D57" s="11"/>
      <c r="E57" s="11"/>
      <c r="F57" s="11"/>
      <c r="G57" s="1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>
      <c r="A58" s="11"/>
      <c r="B58" s="19"/>
      <c r="C58" s="13"/>
      <c r="D58" s="11"/>
      <c r="E58" s="11"/>
      <c r="F58" s="11"/>
      <c r="G58" s="1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>
      <c r="A59" s="11"/>
      <c r="B59" s="19"/>
      <c r="C59" s="13"/>
      <c r="D59" s="11"/>
      <c r="E59" s="11"/>
      <c r="F59" s="11"/>
      <c r="G59" s="1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>
      <c r="A60" s="11"/>
      <c r="B60" s="19"/>
      <c r="C60" s="13"/>
      <c r="D60" s="11"/>
      <c r="E60" s="11"/>
      <c r="F60" s="11"/>
      <c r="G60" s="1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>
      <c r="A61" s="11"/>
      <c r="B61" s="19"/>
      <c r="C61" s="13"/>
      <c r="D61" s="11"/>
      <c r="E61" s="11"/>
      <c r="F61" s="11"/>
      <c r="G61" s="1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>
      <c r="A62" s="11"/>
      <c r="B62" s="19"/>
      <c r="C62" s="13"/>
      <c r="D62" s="11"/>
      <c r="E62" s="11"/>
      <c r="F62" s="11"/>
      <c r="G62" s="1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>
      <c r="A63" s="11"/>
      <c r="B63" s="19"/>
      <c r="C63" s="13"/>
      <c r="D63" s="11"/>
      <c r="E63" s="11"/>
      <c r="F63" s="11"/>
      <c r="G63" s="1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>
      <c r="A64" s="11"/>
      <c r="B64" s="19"/>
      <c r="C64" s="13"/>
      <c r="D64" s="11"/>
      <c r="E64" s="11"/>
      <c r="F64" s="11"/>
      <c r="G64" s="1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>
      <c r="A65" s="11"/>
      <c r="B65" s="19"/>
      <c r="C65" s="13"/>
      <c r="D65" s="11"/>
      <c r="E65" s="11"/>
      <c r="F65" s="11"/>
      <c r="G65" s="1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>
      <c r="A66" s="11"/>
      <c r="B66" s="19"/>
      <c r="C66" s="13"/>
      <c r="D66" s="11"/>
      <c r="E66" s="11"/>
      <c r="F66" s="11"/>
      <c r="G66" s="1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>
      <c r="A67" s="11"/>
      <c r="B67" s="19"/>
      <c r="C67" s="13"/>
      <c r="D67" s="11"/>
      <c r="E67" s="11"/>
      <c r="F67" s="11"/>
      <c r="G67" s="1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>
      <c r="A68" s="11"/>
      <c r="B68" s="19"/>
      <c r="C68" s="13"/>
      <c r="D68" s="11"/>
      <c r="E68" s="11"/>
      <c r="F68" s="11"/>
      <c r="G68" s="1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>
      <c r="A69" s="11"/>
      <c r="B69" s="19"/>
      <c r="C69" s="13"/>
      <c r="D69" s="11"/>
      <c r="E69" s="11"/>
      <c r="F69" s="11"/>
      <c r="G69" s="1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>
      <c r="A70" s="11"/>
      <c r="B70" s="19"/>
      <c r="C70" s="13"/>
      <c r="D70" s="11"/>
      <c r="E70" s="11"/>
      <c r="F70" s="11"/>
      <c r="G70" s="1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>
      <c r="A71" s="11"/>
      <c r="B71" s="19"/>
      <c r="C71" s="13"/>
      <c r="D71" s="11"/>
      <c r="E71" s="11"/>
      <c r="F71" s="11"/>
      <c r="G71" s="1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>
      <c r="A72" s="11"/>
      <c r="B72" s="19"/>
      <c r="C72" s="13"/>
      <c r="D72" s="11"/>
      <c r="E72" s="11"/>
      <c r="F72" s="11"/>
      <c r="G72" s="1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>
      <c r="A73" s="11"/>
      <c r="B73" s="19"/>
      <c r="C73" s="13"/>
      <c r="D73" s="11"/>
      <c r="E73" s="11"/>
      <c r="F73" s="11"/>
      <c r="G73" s="1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>
      <c r="A74" s="11"/>
      <c r="B74" s="19"/>
      <c r="C74" s="13"/>
      <c r="D74" s="11"/>
      <c r="E74" s="11"/>
      <c r="F74" s="11"/>
      <c r="G74" s="1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>
      <c r="A75" s="11"/>
      <c r="B75" s="19"/>
      <c r="C75" s="13"/>
      <c r="D75" s="11"/>
      <c r="E75" s="11"/>
      <c r="F75" s="11"/>
      <c r="G75" s="1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>
      <c r="A76" s="11"/>
      <c r="B76" s="19"/>
      <c r="C76" s="13"/>
      <c r="D76" s="11"/>
      <c r="E76" s="11"/>
      <c r="F76" s="11"/>
      <c r="G76" s="1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>
      <c r="A77" s="11"/>
      <c r="B77" s="19"/>
      <c r="C77" s="13"/>
      <c r="D77" s="11"/>
      <c r="E77" s="11"/>
      <c r="F77" s="11"/>
      <c r="G77" s="1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>
      <c r="A78" s="11"/>
      <c r="B78" s="19"/>
      <c r="C78" s="13"/>
      <c r="D78" s="11"/>
      <c r="E78" s="11"/>
      <c r="F78" s="11"/>
      <c r="G78" s="1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>
      <c r="A79" s="11"/>
      <c r="B79" s="19"/>
      <c r="C79" s="13"/>
      <c r="D79" s="11"/>
      <c r="E79" s="11"/>
      <c r="F79" s="11"/>
      <c r="G79" s="1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>
      <c r="A80" s="11"/>
      <c r="B80" s="19"/>
      <c r="C80" s="13"/>
      <c r="D80" s="11"/>
      <c r="E80" s="11"/>
      <c r="F80" s="11"/>
      <c r="G80" s="1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>
      <c r="A81" s="11"/>
      <c r="B81" s="19"/>
      <c r="C81" s="13"/>
      <c r="D81" s="11"/>
      <c r="E81" s="11"/>
      <c r="F81" s="11"/>
      <c r="G81" s="1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>
      <c r="A82" s="11"/>
      <c r="B82" s="19"/>
      <c r="C82" s="13"/>
      <c r="D82" s="11"/>
      <c r="E82" s="11"/>
      <c r="F82" s="11"/>
      <c r="G82" s="1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>
      <c r="A83" s="11"/>
      <c r="B83" s="19"/>
      <c r="C83" s="13"/>
      <c r="D83" s="11"/>
      <c r="E83" s="11"/>
      <c r="F83" s="11"/>
      <c r="G83" s="1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>
      <c r="A84" s="11"/>
      <c r="B84" s="19"/>
      <c r="C84" s="13"/>
      <c r="D84" s="11"/>
      <c r="E84" s="11"/>
      <c r="F84" s="11"/>
      <c r="G84" s="1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>
      <c r="A85" s="11"/>
      <c r="B85" s="19"/>
      <c r="C85" s="13"/>
      <c r="D85" s="11"/>
      <c r="E85" s="11"/>
      <c r="F85" s="11"/>
      <c r="G85" s="1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>
      <c r="A86" s="11"/>
      <c r="B86" s="19"/>
      <c r="C86" s="13"/>
      <c r="D86" s="11"/>
      <c r="E86" s="11"/>
      <c r="F86" s="11"/>
      <c r="G86" s="1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>
      <c r="A87" s="11"/>
      <c r="B87" s="19"/>
      <c r="C87" s="13"/>
      <c r="D87" s="11"/>
      <c r="E87" s="11"/>
      <c r="F87" s="11"/>
      <c r="G87" s="1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>
      <c r="A88" s="11"/>
      <c r="B88" s="19"/>
      <c r="C88" s="13"/>
      <c r="D88" s="11"/>
      <c r="E88" s="11"/>
      <c r="F88" s="11"/>
      <c r="G88" s="1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>
      <c r="A89" s="11"/>
      <c r="B89" s="19"/>
      <c r="C89" s="13"/>
      <c r="D89" s="11"/>
      <c r="E89" s="11"/>
      <c r="F89" s="11"/>
      <c r="G89" s="1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>
      <c r="A90" s="11"/>
      <c r="B90" s="19"/>
      <c r="C90" s="13"/>
      <c r="D90" s="11"/>
      <c r="E90" s="11"/>
      <c r="F90" s="11"/>
      <c r="G90" s="1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>
      <c r="A91" s="11"/>
      <c r="B91" s="19"/>
      <c r="C91" s="13"/>
      <c r="D91" s="11"/>
      <c r="E91" s="11"/>
      <c r="F91" s="11"/>
      <c r="G91" s="1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>
      <c r="A92" s="11"/>
      <c r="B92" s="19"/>
      <c r="C92" s="13"/>
      <c r="D92" s="11"/>
      <c r="E92" s="11"/>
      <c r="F92" s="11"/>
      <c r="G92" s="1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>
      <c r="A93" s="11"/>
      <c r="B93" s="19"/>
      <c r="C93" s="13"/>
      <c r="D93" s="11"/>
      <c r="E93" s="11"/>
      <c r="F93" s="11"/>
      <c r="G93" s="1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>
      <c r="A94" s="11"/>
      <c r="B94" s="19"/>
      <c r="C94" s="13"/>
      <c r="D94" s="11"/>
      <c r="E94" s="11"/>
      <c r="F94" s="11"/>
      <c r="G94" s="1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>
      <c r="A95" s="11"/>
      <c r="B95" s="19"/>
      <c r="C95" s="13"/>
      <c r="D95" s="11"/>
      <c r="E95" s="11"/>
      <c r="F95" s="11"/>
      <c r="G95" s="1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>
      <c r="A96" s="11"/>
      <c r="B96" s="19"/>
      <c r="C96" s="13"/>
      <c r="D96" s="11"/>
      <c r="E96" s="11"/>
      <c r="F96" s="11"/>
      <c r="G96" s="1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>
      <c r="A97" s="11"/>
      <c r="B97" s="19"/>
      <c r="C97" s="13"/>
      <c r="D97" s="11"/>
      <c r="E97" s="11"/>
      <c r="F97" s="11"/>
      <c r="G97" s="1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>
      <c r="A98" s="11"/>
      <c r="B98" s="19"/>
      <c r="C98" s="13"/>
      <c r="D98" s="11"/>
      <c r="E98" s="11"/>
      <c r="F98" s="11"/>
      <c r="G98" s="1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>
      <c r="A99" s="11"/>
      <c r="B99" s="19"/>
      <c r="C99" s="13"/>
      <c r="D99" s="11"/>
      <c r="E99" s="11"/>
      <c r="F99" s="11"/>
      <c r="G99" s="1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>
      <c r="A100" s="11"/>
      <c r="B100" s="19"/>
      <c r="C100" s="13"/>
      <c r="D100" s="11"/>
      <c r="E100" s="11"/>
      <c r="F100" s="11"/>
      <c r="G100" s="1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>
      <c r="A101" s="11"/>
      <c r="B101" s="19"/>
      <c r="C101" s="13"/>
      <c r="D101" s="11"/>
      <c r="E101" s="11"/>
      <c r="F101" s="11"/>
      <c r="G101" s="1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>
      <c r="A102" s="11"/>
      <c r="B102" s="19"/>
      <c r="C102" s="13"/>
      <c r="D102" s="11"/>
      <c r="E102" s="11"/>
      <c r="F102" s="11"/>
      <c r="G102" s="1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>
      <c r="A103" s="11"/>
      <c r="B103" s="19"/>
      <c r="C103" s="13"/>
      <c r="D103" s="11"/>
      <c r="E103" s="11"/>
      <c r="F103" s="11"/>
      <c r="G103" s="1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>
      <c r="A104" s="11"/>
      <c r="B104" s="19"/>
      <c r="C104" s="13"/>
      <c r="D104" s="11"/>
      <c r="E104" s="11"/>
      <c r="F104" s="11"/>
      <c r="G104" s="1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>
      <c r="A105" s="11"/>
      <c r="B105" s="19"/>
      <c r="C105" s="13"/>
      <c r="D105" s="11"/>
      <c r="E105" s="11"/>
      <c r="F105" s="11"/>
      <c r="G105" s="1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>
      <c r="A106" s="11"/>
      <c r="B106" s="19"/>
      <c r="C106" s="13"/>
      <c r="D106" s="11"/>
      <c r="E106" s="11"/>
      <c r="F106" s="11"/>
      <c r="G106" s="1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>
      <c r="A107" s="11"/>
      <c r="B107" s="19"/>
      <c r="C107" s="13"/>
      <c r="D107" s="11"/>
      <c r="E107" s="11"/>
      <c r="F107" s="11"/>
      <c r="G107" s="1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>
      <c r="A108" s="11"/>
      <c r="B108" s="19"/>
      <c r="C108" s="13"/>
      <c r="D108" s="11"/>
      <c r="E108" s="11"/>
      <c r="F108" s="11"/>
      <c r="G108" s="1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>
      <c r="A109" s="11"/>
      <c r="B109" s="19"/>
      <c r="C109" s="13"/>
      <c r="D109" s="11"/>
      <c r="E109" s="11"/>
      <c r="F109" s="11"/>
      <c r="G109" s="1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>
      <c r="A110" s="11"/>
      <c r="B110" s="19"/>
      <c r="C110" s="13"/>
      <c r="D110" s="11"/>
      <c r="E110" s="11"/>
      <c r="F110" s="11"/>
      <c r="G110" s="1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>
      <c r="A111" s="11"/>
      <c r="B111" s="19"/>
      <c r="C111" s="13"/>
      <c r="D111" s="11"/>
      <c r="E111" s="11"/>
      <c r="F111" s="11"/>
      <c r="G111" s="1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>
      <c r="A112" s="11"/>
      <c r="B112" s="19"/>
      <c r="C112" s="13"/>
      <c r="D112" s="11"/>
      <c r="E112" s="11"/>
      <c r="F112" s="11"/>
      <c r="G112" s="1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>
      <c r="A113" s="11"/>
      <c r="B113" s="19"/>
      <c r="C113" s="13"/>
      <c r="D113" s="11"/>
      <c r="E113" s="11"/>
      <c r="F113" s="11"/>
      <c r="G113" s="1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>
      <c r="A114" s="11"/>
      <c r="B114" s="19"/>
      <c r="C114" s="13"/>
      <c r="D114" s="11"/>
      <c r="E114" s="11"/>
      <c r="F114" s="11"/>
      <c r="G114" s="1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>
      <c r="A115" s="11"/>
      <c r="B115" s="19"/>
      <c r="C115" s="13"/>
      <c r="D115" s="11"/>
      <c r="E115" s="11"/>
      <c r="F115" s="11"/>
      <c r="G115" s="1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>
      <c r="A116" s="11"/>
      <c r="B116" s="19"/>
      <c r="C116" s="13"/>
      <c r="D116" s="11"/>
      <c r="E116" s="11"/>
      <c r="F116" s="11"/>
      <c r="G116" s="1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>
      <c r="A117" s="11"/>
      <c r="B117" s="19"/>
      <c r="C117" s="13"/>
      <c r="D117" s="11"/>
      <c r="E117" s="11"/>
      <c r="F117" s="11"/>
      <c r="G117" s="1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>
      <c r="A118" s="11"/>
      <c r="B118" s="19"/>
      <c r="C118" s="13"/>
      <c r="D118" s="11"/>
      <c r="E118" s="11"/>
      <c r="F118" s="11"/>
      <c r="G118" s="1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>
      <c r="A119" s="11"/>
      <c r="B119" s="19"/>
      <c r="C119" s="13"/>
      <c r="D119" s="11"/>
      <c r="E119" s="11"/>
      <c r="F119" s="11"/>
      <c r="G119" s="1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>
      <c r="A120" s="11"/>
      <c r="B120" s="19"/>
      <c r="C120" s="13"/>
      <c r="D120" s="11"/>
      <c r="E120" s="11"/>
      <c r="F120" s="11"/>
      <c r="G120" s="1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>
      <c r="A121" s="11"/>
      <c r="B121" s="19"/>
      <c r="C121" s="13"/>
      <c r="D121" s="11"/>
      <c r="E121" s="11"/>
      <c r="F121" s="11"/>
      <c r="G121" s="1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>
      <c r="A122" s="11"/>
      <c r="B122" s="19"/>
      <c r="C122" s="13"/>
      <c r="D122" s="11"/>
      <c r="E122" s="11"/>
      <c r="F122" s="11"/>
      <c r="G122" s="1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>
      <c r="A123" s="11"/>
      <c r="B123" s="19"/>
      <c r="C123" s="13"/>
      <c r="D123" s="11"/>
      <c r="E123" s="11"/>
      <c r="F123" s="11"/>
      <c r="G123" s="1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>
      <c r="A124" s="11"/>
      <c r="B124" s="19"/>
      <c r="C124" s="13"/>
      <c r="D124" s="11"/>
      <c r="E124" s="11"/>
      <c r="F124" s="11"/>
      <c r="G124" s="1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>
      <c r="A125" s="11"/>
      <c r="B125" s="19"/>
      <c r="C125" s="13"/>
      <c r="D125" s="11"/>
      <c r="E125" s="11"/>
      <c r="F125" s="11"/>
      <c r="G125" s="1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>
      <c r="A126" s="11"/>
      <c r="B126" s="19"/>
      <c r="C126" s="13"/>
      <c r="D126" s="11"/>
      <c r="E126" s="11"/>
      <c r="F126" s="11"/>
      <c r="G126" s="1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>
      <c r="A127" s="11"/>
      <c r="B127" s="19"/>
      <c r="C127" s="13"/>
      <c r="D127" s="11"/>
      <c r="E127" s="11"/>
      <c r="F127" s="11"/>
      <c r="G127" s="1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>
      <c r="A128" s="11"/>
      <c r="B128" s="19"/>
      <c r="C128" s="13"/>
      <c r="D128" s="11"/>
      <c r="E128" s="11"/>
      <c r="F128" s="11"/>
      <c r="G128" s="1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>
      <c r="A129" s="11"/>
      <c r="B129" s="19"/>
      <c r="C129" s="13"/>
      <c r="D129" s="11"/>
      <c r="E129" s="11"/>
      <c r="F129" s="11"/>
      <c r="G129" s="1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>
      <c r="A130" s="11"/>
      <c r="B130" s="19"/>
      <c r="C130" s="13"/>
      <c r="D130" s="11"/>
      <c r="E130" s="11"/>
      <c r="F130" s="11"/>
      <c r="G130" s="1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>
      <c r="A131" s="11"/>
      <c r="B131" s="19"/>
      <c r="C131" s="13"/>
      <c r="D131" s="11"/>
      <c r="E131" s="11"/>
      <c r="F131" s="11"/>
      <c r="G131" s="1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>
      <c r="A132" s="11"/>
      <c r="B132" s="19"/>
      <c r="C132" s="13"/>
      <c r="D132" s="11"/>
      <c r="E132" s="11"/>
      <c r="F132" s="11"/>
      <c r="G132" s="1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>
      <c r="A133" s="11"/>
      <c r="B133" s="19"/>
      <c r="C133" s="13"/>
      <c r="D133" s="11"/>
      <c r="E133" s="11"/>
      <c r="F133" s="11"/>
      <c r="G133" s="1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>
      <c r="A134" s="11"/>
      <c r="B134" s="19"/>
      <c r="C134" s="13"/>
      <c r="D134" s="11"/>
      <c r="E134" s="11"/>
      <c r="F134" s="11"/>
      <c r="G134" s="1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>
      <c r="A135" s="11"/>
      <c r="B135" s="19"/>
      <c r="C135" s="13"/>
      <c r="D135" s="11"/>
      <c r="E135" s="11"/>
      <c r="F135" s="11"/>
      <c r="G135" s="1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>
      <c r="A136" s="11"/>
      <c r="B136" s="19"/>
      <c r="C136" s="13"/>
      <c r="D136" s="11"/>
      <c r="E136" s="11"/>
      <c r="F136" s="11"/>
      <c r="G136" s="1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>
      <c r="A137" s="11"/>
      <c r="B137" s="19"/>
      <c r="C137" s="13"/>
      <c r="D137" s="11"/>
      <c r="E137" s="11"/>
      <c r="F137" s="11"/>
      <c r="G137" s="1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>
      <c r="A138" s="11"/>
      <c r="B138" s="19"/>
      <c r="C138" s="13"/>
      <c r="D138" s="11"/>
      <c r="E138" s="11"/>
      <c r="F138" s="11"/>
      <c r="G138" s="1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>
      <c r="A139" s="11"/>
      <c r="B139" s="19"/>
      <c r="C139" s="13"/>
      <c r="D139" s="11"/>
      <c r="E139" s="11"/>
      <c r="F139" s="11"/>
      <c r="G139" s="1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>
      <c r="A140" s="11"/>
      <c r="B140" s="19"/>
      <c r="C140" s="13"/>
      <c r="D140" s="11"/>
      <c r="E140" s="11"/>
      <c r="F140" s="11"/>
      <c r="G140" s="1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>
      <c r="A141" s="11"/>
      <c r="B141" s="19"/>
      <c r="C141" s="13"/>
      <c r="D141" s="11"/>
      <c r="E141" s="11"/>
      <c r="F141" s="11"/>
      <c r="G141" s="1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>
      <c r="A142" s="11"/>
      <c r="B142" s="19"/>
      <c r="C142" s="13"/>
      <c r="D142" s="11"/>
      <c r="E142" s="11"/>
      <c r="F142" s="11"/>
      <c r="G142" s="1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>
      <c r="A143" s="11"/>
      <c r="B143" s="19"/>
      <c r="C143" s="13"/>
      <c r="D143" s="11"/>
      <c r="E143" s="11"/>
      <c r="F143" s="11"/>
      <c r="G143" s="1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>
      <c r="A144" s="11"/>
      <c r="B144" s="19"/>
      <c r="C144" s="13"/>
      <c r="D144" s="11"/>
      <c r="E144" s="11"/>
      <c r="F144" s="11"/>
      <c r="G144" s="1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>
      <c r="A145" s="11"/>
      <c r="B145" s="19"/>
      <c r="C145" s="13"/>
      <c r="D145" s="11"/>
      <c r="E145" s="11"/>
      <c r="F145" s="11"/>
      <c r="G145" s="1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>
      <c r="A146" s="11"/>
      <c r="B146" s="19"/>
      <c r="C146" s="13"/>
      <c r="D146" s="11"/>
      <c r="E146" s="11"/>
      <c r="F146" s="11"/>
      <c r="G146" s="1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>
      <c r="A147" s="11"/>
      <c r="B147" s="19"/>
      <c r="C147" s="13"/>
      <c r="D147" s="11"/>
      <c r="E147" s="11"/>
      <c r="F147" s="11"/>
      <c r="G147" s="1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>
      <c r="A148" s="11"/>
      <c r="B148" s="19"/>
      <c r="C148" s="13"/>
      <c r="D148" s="11"/>
      <c r="E148" s="11"/>
      <c r="F148" s="11"/>
      <c r="G148" s="1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>
      <c r="A149" s="11"/>
      <c r="B149" s="19"/>
      <c r="C149" s="13"/>
      <c r="D149" s="11"/>
      <c r="E149" s="11"/>
      <c r="F149" s="11"/>
      <c r="G149" s="1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>
      <c r="A150" s="11"/>
      <c r="B150" s="19"/>
      <c r="C150" s="13"/>
      <c r="D150" s="11"/>
      <c r="E150" s="11"/>
      <c r="F150" s="11"/>
      <c r="G150" s="1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>
      <c r="A151" s="11"/>
      <c r="B151" s="19"/>
      <c r="C151" s="13"/>
      <c r="D151" s="11"/>
      <c r="E151" s="11"/>
      <c r="F151" s="11"/>
      <c r="G151" s="1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>
      <c r="A152" s="11"/>
      <c r="B152" s="19"/>
      <c r="C152" s="13"/>
      <c r="D152" s="11"/>
      <c r="E152" s="11"/>
      <c r="F152" s="11"/>
      <c r="G152" s="1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>
      <c r="A153" s="11"/>
      <c r="B153" s="19"/>
      <c r="C153" s="13"/>
      <c r="D153" s="11"/>
      <c r="E153" s="11"/>
      <c r="F153" s="11"/>
      <c r="G153" s="1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>
      <c r="A154" s="11"/>
      <c r="B154" s="19"/>
      <c r="C154" s="13"/>
      <c r="D154" s="11"/>
      <c r="E154" s="11"/>
      <c r="F154" s="11"/>
      <c r="G154" s="1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>
      <c r="A155" s="11"/>
      <c r="B155" s="19"/>
      <c r="C155" s="13"/>
      <c r="D155" s="11"/>
      <c r="E155" s="11"/>
      <c r="F155" s="11"/>
      <c r="G155" s="1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>
      <c r="A156" s="11"/>
      <c r="B156" s="19"/>
      <c r="C156" s="13"/>
      <c r="D156" s="11"/>
      <c r="E156" s="11"/>
      <c r="F156" s="11"/>
      <c r="G156" s="1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>
      <c r="A157" s="11"/>
      <c r="B157" s="19"/>
      <c r="C157" s="13"/>
      <c r="D157" s="11"/>
      <c r="E157" s="11"/>
      <c r="F157" s="11"/>
      <c r="G157" s="1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>
      <c r="A158" s="11"/>
      <c r="B158" s="19"/>
      <c r="C158" s="13"/>
      <c r="D158" s="11"/>
      <c r="E158" s="11"/>
      <c r="F158" s="11"/>
      <c r="G158" s="1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>
      <c r="A159" s="11"/>
      <c r="B159" s="19"/>
      <c r="C159" s="13"/>
      <c r="D159" s="11"/>
      <c r="E159" s="11"/>
      <c r="F159" s="11"/>
      <c r="G159" s="1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>
      <c r="A160" s="11"/>
      <c r="B160" s="19"/>
      <c r="C160" s="13"/>
      <c r="D160" s="11"/>
      <c r="E160" s="11"/>
      <c r="F160" s="11"/>
      <c r="G160" s="1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>
      <c r="A161" s="11"/>
      <c r="B161" s="19"/>
      <c r="C161" s="13"/>
      <c r="D161" s="11"/>
      <c r="E161" s="11"/>
      <c r="F161" s="11"/>
      <c r="G161" s="1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>
      <c r="A162" s="11"/>
      <c r="B162" s="19"/>
      <c r="C162" s="13"/>
      <c r="D162" s="11"/>
      <c r="E162" s="11"/>
      <c r="F162" s="11"/>
      <c r="G162" s="1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>
      <c r="A163" s="11"/>
      <c r="B163" s="19"/>
      <c r="C163" s="13"/>
      <c r="D163" s="11"/>
      <c r="E163" s="11"/>
      <c r="F163" s="11"/>
      <c r="G163" s="1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>
      <c r="A164" s="11"/>
      <c r="B164" s="19"/>
      <c r="C164" s="13"/>
      <c r="D164" s="11"/>
      <c r="E164" s="11"/>
      <c r="F164" s="11"/>
      <c r="G164" s="1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>
      <c r="A165" s="11"/>
      <c r="B165" s="19"/>
      <c r="C165" s="13"/>
      <c r="D165" s="11"/>
      <c r="E165" s="11"/>
      <c r="F165" s="11"/>
      <c r="G165" s="1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>
      <c r="A166" s="11"/>
      <c r="B166" s="19"/>
      <c r="C166" s="13"/>
      <c r="D166" s="11"/>
      <c r="E166" s="11"/>
      <c r="F166" s="11"/>
      <c r="G166" s="1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>
      <c r="A167" s="11"/>
      <c r="B167" s="19"/>
      <c r="C167" s="13"/>
      <c r="D167" s="11"/>
      <c r="E167" s="11"/>
      <c r="F167" s="11"/>
      <c r="G167" s="1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>
      <c r="A168" s="11"/>
      <c r="B168" s="19"/>
      <c r="C168" s="13"/>
      <c r="D168" s="11"/>
      <c r="E168" s="11"/>
      <c r="F168" s="11"/>
      <c r="G168" s="1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>
      <c r="A169" s="11"/>
      <c r="B169" s="19"/>
      <c r="C169" s="13"/>
      <c r="D169" s="11"/>
      <c r="E169" s="11"/>
      <c r="F169" s="11"/>
      <c r="G169" s="1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>
      <c r="A170" s="11"/>
      <c r="B170" s="19"/>
      <c r="C170" s="13"/>
      <c r="D170" s="11"/>
      <c r="E170" s="11"/>
      <c r="F170" s="11"/>
      <c r="G170" s="1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>
      <c r="A171" s="11"/>
      <c r="B171" s="19"/>
      <c r="C171" s="13"/>
      <c r="D171" s="11"/>
      <c r="E171" s="11"/>
      <c r="F171" s="11"/>
      <c r="G171" s="1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>
      <c r="A172" s="11"/>
      <c r="B172" s="19"/>
      <c r="C172" s="13"/>
      <c r="D172" s="11"/>
      <c r="E172" s="11"/>
      <c r="F172" s="11"/>
      <c r="G172" s="1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>
      <c r="A173" s="11"/>
      <c r="B173" s="19"/>
      <c r="C173" s="13"/>
      <c r="D173" s="11"/>
      <c r="E173" s="11"/>
      <c r="F173" s="11"/>
      <c r="G173" s="1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>
      <c r="A174" s="11"/>
      <c r="B174" s="19"/>
      <c r="C174" s="13"/>
      <c r="D174" s="11"/>
      <c r="E174" s="11"/>
      <c r="F174" s="11"/>
      <c r="G174" s="1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>
      <c r="A175" s="11"/>
      <c r="B175" s="19"/>
      <c r="C175" s="13"/>
      <c r="D175" s="11"/>
      <c r="E175" s="11"/>
      <c r="F175" s="11"/>
      <c r="G175" s="1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>
      <c r="A176" s="11"/>
      <c r="B176" s="19"/>
      <c r="C176" s="13"/>
      <c r="D176" s="11"/>
      <c r="E176" s="11"/>
      <c r="F176" s="11"/>
      <c r="G176" s="1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>
      <c r="A177" s="11"/>
      <c r="B177" s="19"/>
      <c r="C177" s="13"/>
      <c r="D177" s="11"/>
      <c r="E177" s="11"/>
      <c r="F177" s="11"/>
      <c r="G177" s="1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>
      <c r="A178" s="11"/>
      <c r="B178" s="19"/>
      <c r="C178" s="13"/>
      <c r="D178" s="11"/>
      <c r="E178" s="11"/>
      <c r="F178" s="11"/>
      <c r="G178" s="1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>
      <c r="A179" s="11"/>
      <c r="B179" s="19"/>
      <c r="C179" s="13"/>
      <c r="D179" s="11"/>
      <c r="E179" s="11"/>
      <c r="F179" s="11"/>
      <c r="G179" s="1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>
      <c r="A180" s="11"/>
      <c r="B180" s="19"/>
      <c r="C180" s="13"/>
      <c r="D180" s="11"/>
      <c r="E180" s="11"/>
      <c r="F180" s="11"/>
      <c r="G180" s="1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>
      <c r="A181" s="11"/>
      <c r="B181" s="19"/>
      <c r="C181" s="13"/>
      <c r="D181" s="11"/>
      <c r="E181" s="11"/>
      <c r="F181" s="11"/>
      <c r="G181" s="1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>
      <c r="A182" s="11"/>
      <c r="B182" s="19"/>
      <c r="C182" s="13"/>
      <c r="D182" s="11"/>
      <c r="E182" s="11"/>
      <c r="F182" s="11"/>
      <c r="G182" s="1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>
      <c r="A183" s="11"/>
      <c r="B183" s="19"/>
      <c r="C183" s="13"/>
      <c r="D183" s="11"/>
      <c r="E183" s="11"/>
      <c r="F183" s="11"/>
      <c r="G183" s="1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>
      <c r="A184" s="11"/>
      <c r="B184" s="19"/>
      <c r="C184" s="13"/>
      <c r="D184" s="11"/>
      <c r="E184" s="11"/>
      <c r="F184" s="11"/>
      <c r="G184" s="1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>
      <c r="A185" s="11"/>
      <c r="B185" s="19"/>
      <c r="C185" s="13"/>
      <c r="D185" s="11"/>
      <c r="E185" s="11"/>
      <c r="F185" s="11"/>
      <c r="G185" s="1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>
      <c r="A186" s="11"/>
      <c r="B186" s="19"/>
      <c r="C186" s="13"/>
      <c r="D186" s="11"/>
      <c r="E186" s="11"/>
      <c r="F186" s="11"/>
      <c r="G186" s="1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>
      <c r="A187" s="11"/>
      <c r="B187" s="19"/>
      <c r="C187" s="13"/>
      <c r="D187" s="11"/>
      <c r="E187" s="11"/>
      <c r="F187" s="11"/>
      <c r="G187" s="1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>
      <c r="A188" s="11"/>
      <c r="B188" s="19"/>
      <c r="C188" s="13"/>
      <c r="D188" s="11"/>
      <c r="E188" s="11"/>
      <c r="F188" s="11"/>
      <c r="G188" s="1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>
      <c r="A189" s="11"/>
      <c r="B189" s="19"/>
      <c r="C189" s="13"/>
      <c r="D189" s="11"/>
      <c r="E189" s="11"/>
      <c r="F189" s="11"/>
      <c r="G189" s="1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>
      <c r="A190" s="11"/>
      <c r="B190" s="19"/>
      <c r="C190" s="13"/>
      <c r="D190" s="11"/>
      <c r="E190" s="11"/>
      <c r="F190" s="11"/>
      <c r="G190" s="1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>
      <c r="A191" s="11"/>
      <c r="B191" s="19"/>
      <c r="C191" s="13"/>
      <c r="D191" s="11"/>
      <c r="E191" s="11"/>
      <c r="F191" s="11"/>
      <c r="G191" s="1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>
      <c r="A192" s="11"/>
      <c r="B192" s="19"/>
      <c r="C192" s="13"/>
      <c r="D192" s="11"/>
      <c r="E192" s="11"/>
      <c r="F192" s="11"/>
      <c r="G192" s="1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>
      <c r="A193" s="11"/>
      <c r="B193" s="19"/>
      <c r="C193" s="13"/>
      <c r="D193" s="11"/>
      <c r="E193" s="11"/>
      <c r="F193" s="11"/>
      <c r="G193" s="1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>
      <c r="A194" s="11"/>
      <c r="B194" s="19"/>
      <c r="C194" s="13"/>
      <c r="D194" s="11"/>
      <c r="E194" s="11"/>
      <c r="F194" s="11"/>
      <c r="G194" s="1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>
      <c r="A195" s="11"/>
      <c r="B195" s="19"/>
      <c r="C195" s="13"/>
      <c r="D195" s="11"/>
      <c r="E195" s="11"/>
      <c r="F195" s="11"/>
      <c r="G195" s="1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>
      <c r="A196" s="11"/>
      <c r="B196" s="19"/>
      <c r="C196" s="13"/>
      <c r="D196" s="11"/>
      <c r="E196" s="11"/>
      <c r="F196" s="11"/>
      <c r="G196" s="1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>
      <c r="A197" s="11"/>
      <c r="B197" s="19"/>
      <c r="C197" s="13"/>
      <c r="D197" s="11"/>
      <c r="E197" s="11"/>
      <c r="F197" s="11"/>
      <c r="G197" s="1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>
      <c r="A198" s="11"/>
      <c r="B198" s="19"/>
      <c r="C198" s="13"/>
      <c r="D198" s="11"/>
      <c r="E198" s="11"/>
      <c r="F198" s="11"/>
      <c r="G198" s="1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>
      <c r="A199" s="11"/>
      <c r="B199" s="19"/>
      <c r="C199" s="13"/>
      <c r="D199" s="11"/>
      <c r="E199" s="11"/>
      <c r="F199" s="11"/>
      <c r="G199" s="1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>
      <c r="A200" s="11"/>
      <c r="B200" s="19"/>
      <c r="C200" s="13"/>
      <c r="D200" s="11"/>
      <c r="E200" s="11"/>
      <c r="F200" s="11"/>
      <c r="G200" s="1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>
      <c r="A201" s="11"/>
      <c r="B201" s="19"/>
      <c r="C201" s="13"/>
      <c r="D201" s="11"/>
      <c r="E201" s="11"/>
      <c r="F201" s="11"/>
      <c r="G201" s="1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>
      <c r="A202" s="11"/>
      <c r="B202" s="19"/>
      <c r="C202" s="13"/>
      <c r="D202" s="11"/>
      <c r="E202" s="11"/>
      <c r="F202" s="11"/>
      <c r="G202" s="1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>
      <c r="A203" s="11"/>
      <c r="B203" s="19"/>
      <c r="C203" s="13"/>
      <c r="D203" s="11"/>
      <c r="E203" s="11"/>
      <c r="F203" s="11"/>
      <c r="G203" s="1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>
      <c r="A204" s="11"/>
      <c r="B204" s="19"/>
      <c r="C204" s="13"/>
      <c r="D204" s="11"/>
      <c r="E204" s="11"/>
      <c r="F204" s="11"/>
      <c r="G204" s="1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>
      <c r="A205" s="11"/>
      <c r="B205" s="19"/>
      <c r="C205" s="13"/>
      <c r="D205" s="11"/>
      <c r="E205" s="11"/>
      <c r="F205" s="11"/>
      <c r="G205" s="1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>
      <c r="A206" s="11"/>
      <c r="B206" s="19"/>
      <c r="C206" s="13"/>
      <c r="D206" s="11"/>
      <c r="E206" s="11"/>
      <c r="F206" s="11"/>
      <c r="G206" s="1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>
      <c r="A207" s="11"/>
      <c r="B207" s="19"/>
      <c r="C207" s="13"/>
      <c r="D207" s="11"/>
      <c r="E207" s="11"/>
      <c r="F207" s="11"/>
      <c r="G207" s="1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>
      <c r="A208" s="11"/>
      <c r="B208" s="19"/>
      <c r="C208" s="13"/>
      <c r="D208" s="11"/>
      <c r="E208" s="11"/>
      <c r="F208" s="11"/>
      <c r="G208" s="1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>
      <c r="A209" s="11"/>
      <c r="B209" s="19"/>
      <c r="C209" s="13"/>
      <c r="D209" s="11"/>
      <c r="E209" s="11"/>
      <c r="F209" s="11"/>
      <c r="G209" s="1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>
      <c r="A210" s="11"/>
      <c r="B210" s="19"/>
      <c r="C210" s="13"/>
      <c r="D210" s="11"/>
      <c r="E210" s="11"/>
      <c r="F210" s="11"/>
      <c r="G210" s="1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>
      <c r="A211" s="11"/>
      <c r="B211" s="19"/>
      <c r="C211" s="13"/>
      <c r="D211" s="11"/>
      <c r="E211" s="11"/>
      <c r="F211" s="11"/>
      <c r="G211" s="1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>
      <c r="A212" s="11"/>
      <c r="B212" s="19"/>
      <c r="C212" s="13"/>
      <c r="D212" s="11"/>
      <c r="E212" s="11"/>
      <c r="F212" s="11"/>
      <c r="G212" s="1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>
      <c r="A213" s="11"/>
      <c r="B213" s="19"/>
      <c r="C213" s="13"/>
      <c r="D213" s="11"/>
      <c r="E213" s="11"/>
      <c r="F213" s="11"/>
      <c r="G213" s="1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>
      <c r="A214" s="11"/>
      <c r="B214" s="19"/>
      <c r="C214" s="13"/>
      <c r="D214" s="11"/>
      <c r="E214" s="11"/>
      <c r="F214" s="11"/>
      <c r="G214" s="1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>
      <c r="A215" s="11"/>
      <c r="B215" s="19"/>
      <c r="C215" s="13"/>
      <c r="D215" s="11"/>
      <c r="E215" s="11"/>
      <c r="F215" s="11"/>
      <c r="G215" s="1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>
      <c r="A216" s="11"/>
      <c r="B216" s="19"/>
      <c r="C216" s="13"/>
      <c r="D216" s="11"/>
      <c r="E216" s="11"/>
      <c r="F216" s="11"/>
      <c r="G216" s="1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>
      <c r="A217" s="11"/>
      <c r="B217" s="19"/>
      <c r="C217" s="13"/>
      <c r="D217" s="11"/>
      <c r="E217" s="11"/>
      <c r="F217" s="11"/>
      <c r="G217" s="1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>
      <c r="A218" s="11"/>
      <c r="B218" s="19"/>
      <c r="C218" s="13"/>
      <c r="D218" s="11"/>
      <c r="E218" s="11"/>
      <c r="F218" s="11"/>
      <c r="G218" s="1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>
      <c r="A219" s="11"/>
      <c r="B219" s="19"/>
      <c r="C219" s="13"/>
      <c r="D219" s="11"/>
      <c r="E219" s="11"/>
      <c r="F219" s="11"/>
      <c r="G219" s="1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>
      <c r="A220" s="11"/>
      <c r="B220" s="19"/>
      <c r="C220" s="13"/>
      <c r="D220" s="11"/>
      <c r="E220" s="11"/>
      <c r="F220" s="11"/>
      <c r="G220" s="1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>
      <c r="A221" s="11"/>
      <c r="B221" s="19"/>
      <c r="C221" s="13"/>
      <c r="D221" s="11"/>
      <c r="E221" s="11"/>
      <c r="F221" s="11"/>
      <c r="G221" s="1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>
      <c r="A222" s="11"/>
      <c r="B222" s="19"/>
      <c r="C222" s="13"/>
      <c r="D222" s="11"/>
      <c r="E222" s="11"/>
      <c r="F222" s="11"/>
      <c r="G222" s="1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>
      <c r="A223" s="11"/>
      <c r="B223" s="19"/>
      <c r="C223" s="13"/>
      <c r="D223" s="11"/>
      <c r="E223" s="11"/>
      <c r="F223" s="11"/>
      <c r="G223" s="1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>
      <c r="A224" s="11"/>
      <c r="B224" s="19"/>
      <c r="C224" s="13"/>
      <c r="D224" s="11"/>
      <c r="E224" s="11"/>
      <c r="F224" s="11"/>
      <c r="G224" s="1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>
      <c r="A225" s="11"/>
      <c r="B225" s="19"/>
      <c r="C225" s="13"/>
      <c r="D225" s="11"/>
      <c r="E225" s="11"/>
      <c r="F225" s="11"/>
      <c r="G225" s="1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>
      <c r="A226" s="11"/>
      <c r="B226" s="19"/>
      <c r="C226" s="13"/>
      <c r="D226" s="11"/>
      <c r="E226" s="11"/>
      <c r="F226" s="11"/>
      <c r="G226" s="1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>
      <c r="A227" s="11"/>
      <c r="B227" s="19"/>
      <c r="C227" s="13"/>
      <c r="D227" s="11"/>
      <c r="E227" s="11"/>
      <c r="F227" s="11"/>
      <c r="G227" s="1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>
      <c r="A228" s="11"/>
      <c r="B228" s="19"/>
      <c r="C228" s="13"/>
      <c r="D228" s="11"/>
      <c r="E228" s="11"/>
      <c r="F228" s="11"/>
      <c r="G228" s="1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>
      <c r="A229" s="11"/>
      <c r="B229" s="19"/>
      <c r="C229" s="13"/>
      <c r="D229" s="11"/>
      <c r="E229" s="11"/>
      <c r="F229" s="11"/>
      <c r="G229" s="1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>
      <c r="A230" s="11"/>
      <c r="B230" s="19"/>
      <c r="C230" s="13"/>
      <c r="D230" s="11"/>
      <c r="E230" s="11"/>
      <c r="F230" s="11"/>
      <c r="G230" s="1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>
      <c r="A231" s="11"/>
      <c r="B231" s="19"/>
      <c r="C231" s="13"/>
      <c r="D231" s="11"/>
      <c r="E231" s="11"/>
      <c r="F231" s="11"/>
      <c r="G231" s="1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>
      <c r="A232" s="11"/>
      <c r="B232" s="19"/>
      <c r="C232" s="13"/>
      <c r="D232" s="11"/>
      <c r="E232" s="11"/>
      <c r="F232" s="11"/>
      <c r="G232" s="1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>
      <c r="A233" s="11"/>
      <c r="B233" s="19"/>
      <c r="C233" s="13"/>
      <c r="D233" s="11"/>
      <c r="E233" s="11"/>
      <c r="F233" s="11"/>
      <c r="G233" s="1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>
      <c r="A234" s="11"/>
      <c r="B234" s="19"/>
      <c r="C234" s="13"/>
      <c r="D234" s="11"/>
      <c r="E234" s="11"/>
      <c r="F234" s="11"/>
      <c r="G234" s="1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>
      <c r="A235" s="11"/>
      <c r="B235" s="19"/>
      <c r="C235" s="13"/>
      <c r="D235" s="11"/>
      <c r="E235" s="11"/>
      <c r="F235" s="11"/>
      <c r="G235" s="1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>
      <c r="A236" s="11"/>
      <c r="B236" s="19"/>
      <c r="C236" s="13"/>
      <c r="D236" s="11"/>
      <c r="E236" s="11"/>
      <c r="F236" s="11"/>
      <c r="G236" s="1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>
      <c r="A237" s="11"/>
      <c r="B237" s="19"/>
      <c r="C237" s="13"/>
      <c r="D237" s="11"/>
      <c r="E237" s="11"/>
      <c r="F237" s="11"/>
      <c r="G237" s="1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>
      <c r="A238" s="11"/>
      <c r="B238" s="19"/>
      <c r="C238" s="13"/>
      <c r="D238" s="11"/>
      <c r="E238" s="11"/>
      <c r="F238" s="11"/>
      <c r="G238" s="1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>
      <c r="A239" s="11"/>
      <c r="B239" s="19"/>
      <c r="C239" s="13"/>
      <c r="D239" s="11"/>
      <c r="E239" s="11"/>
      <c r="F239" s="11"/>
      <c r="G239" s="1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>
      <c r="A240" s="11"/>
      <c r="B240" s="19"/>
      <c r="C240" s="13"/>
      <c r="D240" s="11"/>
      <c r="E240" s="11"/>
      <c r="F240" s="11"/>
      <c r="G240" s="1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>
      <c r="A241" s="11"/>
      <c r="B241" s="19"/>
      <c r="C241" s="13"/>
      <c r="D241" s="11"/>
      <c r="E241" s="11"/>
      <c r="F241" s="11"/>
      <c r="G241" s="1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>
      <c r="A242" s="11"/>
      <c r="B242" s="19"/>
      <c r="C242" s="13"/>
      <c r="D242" s="11"/>
      <c r="E242" s="11"/>
      <c r="F242" s="11"/>
      <c r="G242" s="1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>
      <c r="A243" s="11"/>
      <c r="B243" s="19"/>
      <c r="C243" s="13"/>
      <c r="D243" s="11"/>
      <c r="E243" s="11"/>
      <c r="F243" s="11"/>
      <c r="G243" s="1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>
      <c r="A244" s="11"/>
      <c r="B244" s="19"/>
      <c r="C244" s="13"/>
      <c r="D244" s="11"/>
      <c r="E244" s="11"/>
      <c r="F244" s="11"/>
      <c r="G244" s="1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>
      <c r="A245" s="11"/>
      <c r="B245" s="19"/>
      <c r="C245" s="13"/>
      <c r="D245" s="11"/>
      <c r="E245" s="11"/>
      <c r="F245" s="11"/>
      <c r="G245" s="1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>
      <c r="A246" s="11"/>
      <c r="B246" s="19"/>
      <c r="C246" s="13"/>
      <c r="D246" s="11"/>
      <c r="E246" s="11"/>
      <c r="F246" s="11"/>
      <c r="G246" s="1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>
      <c r="A247" s="11"/>
      <c r="B247" s="19"/>
      <c r="C247" s="13"/>
      <c r="D247" s="11"/>
      <c r="E247" s="11"/>
      <c r="F247" s="11"/>
      <c r="G247" s="1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>
      <c r="A248" s="11"/>
      <c r="B248" s="19"/>
      <c r="C248" s="13"/>
      <c r="D248" s="11"/>
      <c r="E248" s="11"/>
      <c r="F248" s="11"/>
      <c r="G248" s="1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>
      <c r="A249" s="11"/>
      <c r="B249" s="19"/>
      <c r="C249" s="13"/>
      <c r="D249" s="11"/>
      <c r="E249" s="11"/>
      <c r="F249" s="11"/>
      <c r="G249" s="1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>
      <c r="A250" s="11"/>
      <c r="B250" s="19"/>
      <c r="C250" s="13"/>
      <c r="D250" s="11"/>
      <c r="E250" s="11"/>
      <c r="F250" s="11"/>
      <c r="G250" s="1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>
      <c r="A251" s="11"/>
      <c r="B251" s="19"/>
      <c r="C251" s="13"/>
      <c r="D251" s="11"/>
      <c r="E251" s="11"/>
      <c r="F251" s="11"/>
      <c r="G251" s="1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>
      <c r="A252" s="11"/>
      <c r="B252" s="19"/>
      <c r="C252" s="13"/>
      <c r="D252" s="11"/>
      <c r="E252" s="11"/>
      <c r="F252" s="11"/>
      <c r="G252" s="1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>
      <c r="A253" s="11"/>
      <c r="B253" s="19"/>
      <c r="C253" s="13"/>
      <c r="D253" s="11"/>
      <c r="E253" s="11"/>
      <c r="F253" s="11"/>
      <c r="G253" s="1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>
      <c r="A254" s="11"/>
      <c r="B254" s="19"/>
      <c r="C254" s="13"/>
      <c r="D254" s="11"/>
      <c r="E254" s="11"/>
      <c r="F254" s="11"/>
      <c r="G254" s="1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>
      <c r="A255" s="11"/>
      <c r="B255" s="19"/>
      <c r="C255" s="13"/>
      <c r="D255" s="11"/>
      <c r="E255" s="11"/>
      <c r="F255" s="11"/>
      <c r="G255" s="1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>
      <c r="A256" s="11"/>
      <c r="B256" s="19"/>
      <c r="C256" s="13"/>
      <c r="D256" s="11"/>
      <c r="E256" s="11"/>
      <c r="F256" s="11"/>
      <c r="G256" s="1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>
      <c r="A257" s="11"/>
      <c r="B257" s="19"/>
      <c r="C257" s="13"/>
      <c r="D257" s="11"/>
      <c r="E257" s="11"/>
      <c r="F257" s="11"/>
      <c r="G257" s="1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>
      <c r="A258" s="11"/>
      <c r="B258" s="19"/>
      <c r="C258" s="13"/>
      <c r="D258" s="11"/>
      <c r="E258" s="11"/>
      <c r="F258" s="11"/>
      <c r="G258" s="1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>
      <c r="A259" s="11"/>
      <c r="B259" s="19"/>
      <c r="C259" s="13"/>
      <c r="D259" s="11"/>
      <c r="E259" s="11"/>
      <c r="F259" s="11"/>
      <c r="G259" s="1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>
      <c r="A260" s="11"/>
      <c r="B260" s="19"/>
      <c r="C260" s="13"/>
      <c r="D260" s="11"/>
      <c r="E260" s="11"/>
      <c r="F260" s="11"/>
      <c r="G260" s="1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>
      <c r="A261" s="11"/>
      <c r="B261" s="19"/>
      <c r="C261" s="13"/>
      <c r="D261" s="11"/>
      <c r="E261" s="11"/>
      <c r="F261" s="11"/>
      <c r="G261" s="1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>
      <c r="A262" s="11"/>
      <c r="B262" s="19"/>
      <c r="C262" s="13"/>
      <c r="D262" s="11"/>
      <c r="E262" s="11"/>
      <c r="F262" s="11"/>
      <c r="G262" s="1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>
      <c r="A263" s="11"/>
      <c r="B263" s="19"/>
      <c r="C263" s="13"/>
      <c r="D263" s="11"/>
      <c r="E263" s="11"/>
      <c r="F263" s="11"/>
      <c r="G263" s="1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>
      <c r="A264" s="11"/>
      <c r="B264" s="19"/>
      <c r="C264" s="13"/>
      <c r="D264" s="11"/>
      <c r="E264" s="11"/>
      <c r="F264" s="11"/>
      <c r="G264" s="1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>
      <c r="A265" s="11"/>
      <c r="B265" s="19"/>
      <c r="C265" s="13"/>
      <c r="D265" s="11"/>
      <c r="E265" s="11"/>
      <c r="F265" s="11"/>
      <c r="G265" s="1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>
      <c r="A266" s="11"/>
      <c r="B266" s="19"/>
      <c r="C266" s="13"/>
      <c r="D266" s="11"/>
      <c r="E266" s="11"/>
      <c r="F266" s="11"/>
      <c r="G266" s="1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</row>
    <row r="267">
      <c r="A267" s="11"/>
      <c r="B267" s="19"/>
      <c r="C267" s="13"/>
      <c r="D267" s="11"/>
      <c r="E267" s="11"/>
      <c r="F267" s="11"/>
      <c r="G267" s="1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</row>
    <row r="268">
      <c r="A268" s="11"/>
      <c r="B268" s="19"/>
      <c r="C268" s="13"/>
      <c r="D268" s="11"/>
      <c r="E268" s="11"/>
      <c r="F268" s="11"/>
      <c r="G268" s="1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</row>
    <row r="269">
      <c r="A269" s="11"/>
      <c r="B269" s="19"/>
      <c r="C269" s="13"/>
      <c r="D269" s="11"/>
      <c r="E269" s="11"/>
      <c r="F269" s="11"/>
      <c r="G269" s="1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</row>
    <row r="270">
      <c r="A270" s="11"/>
      <c r="B270" s="19"/>
      <c r="C270" s="13"/>
      <c r="D270" s="11"/>
      <c r="E270" s="11"/>
      <c r="F270" s="11"/>
      <c r="G270" s="1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</row>
    <row r="271">
      <c r="A271" s="11"/>
      <c r="B271" s="19"/>
      <c r="C271" s="13"/>
      <c r="D271" s="11"/>
      <c r="E271" s="11"/>
      <c r="F271" s="11"/>
      <c r="G271" s="1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</row>
    <row r="272">
      <c r="A272" s="11"/>
      <c r="B272" s="19"/>
      <c r="C272" s="13"/>
      <c r="D272" s="11"/>
      <c r="E272" s="11"/>
      <c r="F272" s="11"/>
      <c r="G272" s="1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</row>
    <row r="273">
      <c r="A273" s="11"/>
      <c r="B273" s="19"/>
      <c r="C273" s="13"/>
      <c r="D273" s="11"/>
      <c r="E273" s="11"/>
      <c r="F273" s="11"/>
      <c r="G273" s="1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</row>
    <row r="274">
      <c r="A274" s="11"/>
      <c r="B274" s="19"/>
      <c r="C274" s="13"/>
      <c r="D274" s="11"/>
      <c r="E274" s="11"/>
      <c r="F274" s="11"/>
      <c r="G274" s="1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</row>
    <row r="275">
      <c r="A275" s="11"/>
      <c r="B275" s="19"/>
      <c r="C275" s="13"/>
      <c r="D275" s="11"/>
      <c r="E275" s="11"/>
      <c r="F275" s="11"/>
      <c r="G275" s="1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</row>
    <row r="276">
      <c r="A276" s="11"/>
      <c r="B276" s="19"/>
      <c r="C276" s="13"/>
      <c r="D276" s="11"/>
      <c r="E276" s="11"/>
      <c r="F276" s="11"/>
      <c r="G276" s="1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</row>
    <row r="277">
      <c r="A277" s="11"/>
      <c r="B277" s="19"/>
      <c r="C277" s="13"/>
      <c r="D277" s="11"/>
      <c r="E277" s="11"/>
      <c r="F277" s="11"/>
      <c r="G277" s="1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</row>
    <row r="278">
      <c r="A278" s="11"/>
      <c r="B278" s="19"/>
      <c r="C278" s="13"/>
      <c r="D278" s="11"/>
      <c r="E278" s="11"/>
      <c r="F278" s="11"/>
      <c r="G278" s="1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</row>
    <row r="279">
      <c r="A279" s="11"/>
      <c r="B279" s="19"/>
      <c r="C279" s="13"/>
      <c r="D279" s="11"/>
      <c r="E279" s="11"/>
      <c r="F279" s="11"/>
      <c r="G279" s="1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</row>
    <row r="280">
      <c r="A280" s="11"/>
      <c r="B280" s="19"/>
      <c r="C280" s="13"/>
      <c r="D280" s="11"/>
      <c r="E280" s="11"/>
      <c r="F280" s="11"/>
      <c r="G280" s="1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</row>
    <row r="281">
      <c r="A281" s="11"/>
      <c r="B281" s="19"/>
      <c r="C281" s="13"/>
      <c r="D281" s="11"/>
      <c r="E281" s="11"/>
      <c r="F281" s="11"/>
      <c r="G281" s="1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</row>
    <row r="282">
      <c r="A282" s="11"/>
      <c r="B282" s="19"/>
      <c r="C282" s="13"/>
      <c r="D282" s="11"/>
      <c r="E282" s="11"/>
      <c r="F282" s="11"/>
      <c r="G282" s="1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</row>
    <row r="283">
      <c r="A283" s="11"/>
      <c r="B283" s="19"/>
      <c r="C283" s="13"/>
      <c r="D283" s="11"/>
      <c r="E283" s="11"/>
      <c r="F283" s="11"/>
      <c r="G283" s="1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</row>
    <row r="284">
      <c r="A284" s="11"/>
      <c r="B284" s="19"/>
      <c r="C284" s="13"/>
      <c r="D284" s="11"/>
      <c r="E284" s="11"/>
      <c r="F284" s="11"/>
      <c r="G284" s="1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</row>
    <row r="285">
      <c r="A285" s="11"/>
      <c r="B285" s="19"/>
      <c r="C285" s="13"/>
      <c r="D285" s="11"/>
      <c r="E285" s="11"/>
      <c r="F285" s="11"/>
      <c r="G285" s="1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</row>
    <row r="286">
      <c r="A286" s="11"/>
      <c r="B286" s="19"/>
      <c r="C286" s="13"/>
      <c r="D286" s="11"/>
      <c r="E286" s="11"/>
      <c r="F286" s="11"/>
      <c r="G286" s="1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</row>
    <row r="287">
      <c r="A287" s="11"/>
      <c r="B287" s="19"/>
      <c r="C287" s="13"/>
      <c r="D287" s="11"/>
      <c r="E287" s="11"/>
      <c r="F287" s="11"/>
      <c r="G287" s="1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</row>
    <row r="288">
      <c r="A288" s="11"/>
      <c r="B288" s="19"/>
      <c r="C288" s="13"/>
      <c r="D288" s="11"/>
      <c r="E288" s="11"/>
      <c r="F288" s="11"/>
      <c r="G288" s="1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</row>
    <row r="289">
      <c r="A289" s="11"/>
      <c r="B289" s="19"/>
      <c r="C289" s="13"/>
      <c r="D289" s="11"/>
      <c r="E289" s="11"/>
      <c r="F289" s="11"/>
      <c r="G289" s="1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</row>
    <row r="290">
      <c r="A290" s="11"/>
      <c r="B290" s="19"/>
      <c r="C290" s="13"/>
      <c r="D290" s="11"/>
      <c r="E290" s="11"/>
      <c r="F290" s="11"/>
      <c r="G290" s="1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</row>
    <row r="291">
      <c r="A291" s="11"/>
      <c r="B291" s="19"/>
      <c r="C291" s="13"/>
      <c r="D291" s="11"/>
      <c r="E291" s="11"/>
      <c r="F291" s="11"/>
      <c r="G291" s="1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</row>
    <row r="292">
      <c r="A292" s="11"/>
      <c r="B292" s="19"/>
      <c r="C292" s="13"/>
      <c r="D292" s="11"/>
      <c r="E292" s="11"/>
      <c r="F292" s="11"/>
      <c r="G292" s="1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</row>
    <row r="293">
      <c r="A293" s="11"/>
      <c r="B293" s="19"/>
      <c r="C293" s="13"/>
      <c r="D293" s="11"/>
      <c r="E293" s="11"/>
      <c r="F293" s="11"/>
      <c r="G293" s="1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</row>
    <row r="294">
      <c r="A294" s="11"/>
      <c r="B294" s="19"/>
      <c r="C294" s="13"/>
      <c r="D294" s="11"/>
      <c r="E294" s="11"/>
      <c r="F294" s="11"/>
      <c r="G294" s="1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</row>
    <row r="295">
      <c r="A295" s="11"/>
      <c r="B295" s="19"/>
      <c r="C295" s="13"/>
      <c r="D295" s="11"/>
      <c r="E295" s="11"/>
      <c r="F295" s="11"/>
      <c r="G295" s="1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</row>
    <row r="296">
      <c r="A296" s="11"/>
      <c r="B296" s="19"/>
      <c r="C296" s="13"/>
      <c r="D296" s="11"/>
      <c r="E296" s="11"/>
      <c r="F296" s="11"/>
      <c r="G296" s="1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</row>
    <row r="297">
      <c r="A297" s="11"/>
      <c r="B297" s="19"/>
      <c r="C297" s="13"/>
      <c r="D297" s="11"/>
      <c r="E297" s="11"/>
      <c r="F297" s="11"/>
      <c r="G297" s="1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</row>
    <row r="298">
      <c r="A298" s="11"/>
      <c r="B298" s="19"/>
      <c r="C298" s="13"/>
      <c r="D298" s="11"/>
      <c r="E298" s="11"/>
      <c r="F298" s="11"/>
      <c r="G298" s="1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</row>
    <row r="299">
      <c r="A299" s="11"/>
      <c r="B299" s="19"/>
      <c r="C299" s="13"/>
      <c r="D299" s="11"/>
      <c r="E299" s="11"/>
      <c r="F299" s="11"/>
      <c r="G299" s="1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</row>
    <row r="300">
      <c r="A300" s="11"/>
      <c r="B300" s="19"/>
      <c r="C300" s="13"/>
      <c r="D300" s="11"/>
      <c r="E300" s="11"/>
      <c r="F300" s="11"/>
      <c r="G300" s="1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</row>
    <row r="301">
      <c r="A301" s="11"/>
      <c r="B301" s="19"/>
      <c r="C301" s="13"/>
      <c r="D301" s="11"/>
      <c r="E301" s="11"/>
      <c r="F301" s="11"/>
      <c r="G301" s="1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</row>
    <row r="302">
      <c r="A302" s="11"/>
      <c r="B302" s="19"/>
      <c r="C302" s="13"/>
      <c r="D302" s="11"/>
      <c r="E302" s="11"/>
      <c r="F302" s="11"/>
      <c r="G302" s="1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</row>
    <row r="303">
      <c r="A303" s="11"/>
      <c r="B303" s="19"/>
      <c r="C303" s="13"/>
      <c r="D303" s="11"/>
      <c r="E303" s="11"/>
      <c r="F303" s="11"/>
      <c r="G303" s="1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>
      <c r="A304" s="11"/>
      <c r="B304" s="19"/>
      <c r="C304" s="13"/>
      <c r="D304" s="11"/>
      <c r="E304" s="11"/>
      <c r="F304" s="11"/>
      <c r="G304" s="1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>
      <c r="A305" s="11"/>
      <c r="B305" s="19"/>
      <c r="C305" s="13"/>
      <c r="D305" s="11"/>
      <c r="E305" s="11"/>
      <c r="F305" s="11"/>
      <c r="G305" s="1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>
      <c r="A306" s="11"/>
      <c r="B306" s="19"/>
      <c r="C306" s="13"/>
      <c r="D306" s="11"/>
      <c r="E306" s="11"/>
      <c r="F306" s="11"/>
      <c r="G306" s="1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>
      <c r="A307" s="11"/>
      <c r="B307" s="19"/>
      <c r="C307" s="13"/>
      <c r="D307" s="11"/>
      <c r="E307" s="11"/>
      <c r="F307" s="11"/>
      <c r="G307" s="1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>
      <c r="A308" s="11"/>
      <c r="B308" s="19"/>
      <c r="C308" s="13"/>
      <c r="D308" s="11"/>
      <c r="E308" s="11"/>
      <c r="F308" s="11"/>
      <c r="G308" s="1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>
      <c r="A309" s="11"/>
      <c r="B309" s="19"/>
      <c r="C309" s="13"/>
      <c r="D309" s="11"/>
      <c r="E309" s="11"/>
      <c r="F309" s="11"/>
      <c r="G309" s="1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>
      <c r="A310" s="11"/>
      <c r="B310" s="19"/>
      <c r="C310" s="13"/>
      <c r="D310" s="11"/>
      <c r="E310" s="11"/>
      <c r="F310" s="11"/>
      <c r="G310" s="1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>
      <c r="A311" s="11"/>
      <c r="B311" s="19"/>
      <c r="C311" s="13"/>
      <c r="D311" s="11"/>
      <c r="E311" s="11"/>
      <c r="F311" s="11"/>
      <c r="G311" s="1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>
      <c r="A312" s="11"/>
      <c r="B312" s="19"/>
      <c r="C312" s="13"/>
      <c r="D312" s="11"/>
      <c r="E312" s="11"/>
      <c r="F312" s="11"/>
      <c r="G312" s="1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>
      <c r="A313" s="11"/>
      <c r="B313" s="19"/>
      <c r="C313" s="13"/>
      <c r="D313" s="11"/>
      <c r="E313" s="11"/>
      <c r="F313" s="11"/>
      <c r="G313" s="1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>
      <c r="A314" s="11"/>
      <c r="B314" s="19"/>
      <c r="C314" s="13"/>
      <c r="D314" s="11"/>
      <c r="E314" s="11"/>
      <c r="F314" s="11"/>
      <c r="G314" s="1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>
      <c r="A315" s="11"/>
      <c r="B315" s="19"/>
      <c r="C315" s="13"/>
      <c r="D315" s="11"/>
      <c r="E315" s="11"/>
      <c r="F315" s="11"/>
      <c r="G315" s="1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>
      <c r="A316" s="11"/>
      <c r="B316" s="19"/>
      <c r="C316" s="13"/>
      <c r="D316" s="11"/>
      <c r="E316" s="11"/>
      <c r="F316" s="11"/>
      <c r="G316" s="1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>
      <c r="A317" s="11"/>
      <c r="B317" s="19"/>
      <c r="C317" s="13"/>
      <c r="D317" s="11"/>
      <c r="E317" s="11"/>
      <c r="F317" s="11"/>
      <c r="G317" s="1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>
      <c r="A318" s="11"/>
      <c r="B318" s="19"/>
      <c r="C318" s="13"/>
      <c r="D318" s="11"/>
      <c r="E318" s="11"/>
      <c r="F318" s="11"/>
      <c r="G318" s="1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>
      <c r="A319" s="11"/>
      <c r="B319" s="19"/>
      <c r="C319" s="13"/>
      <c r="D319" s="11"/>
      <c r="E319" s="11"/>
      <c r="F319" s="11"/>
      <c r="G319" s="1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>
      <c r="A320" s="11"/>
      <c r="B320" s="19"/>
      <c r="C320" s="13"/>
      <c r="D320" s="11"/>
      <c r="E320" s="11"/>
      <c r="F320" s="11"/>
      <c r="G320" s="1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>
      <c r="A321" s="11"/>
      <c r="B321" s="19"/>
      <c r="C321" s="13"/>
      <c r="D321" s="11"/>
      <c r="E321" s="11"/>
      <c r="F321" s="11"/>
      <c r="G321" s="1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>
      <c r="A322" s="11"/>
      <c r="B322" s="19"/>
      <c r="C322" s="13"/>
      <c r="D322" s="11"/>
      <c r="E322" s="11"/>
      <c r="F322" s="11"/>
      <c r="G322" s="1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>
      <c r="A323" s="11"/>
      <c r="B323" s="19"/>
      <c r="C323" s="13"/>
      <c r="D323" s="11"/>
      <c r="E323" s="11"/>
      <c r="F323" s="11"/>
      <c r="G323" s="1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>
      <c r="A324" s="11"/>
      <c r="B324" s="19"/>
      <c r="C324" s="13"/>
      <c r="D324" s="11"/>
      <c r="E324" s="11"/>
      <c r="F324" s="11"/>
      <c r="G324" s="1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>
      <c r="A325" s="11"/>
      <c r="B325" s="19"/>
      <c r="C325" s="13"/>
      <c r="D325" s="11"/>
      <c r="E325" s="11"/>
      <c r="F325" s="11"/>
      <c r="G325" s="1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>
      <c r="A326" s="11"/>
      <c r="B326" s="19"/>
      <c r="C326" s="13"/>
      <c r="D326" s="11"/>
      <c r="E326" s="11"/>
      <c r="F326" s="11"/>
      <c r="G326" s="1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>
      <c r="A327" s="11"/>
      <c r="B327" s="19"/>
      <c r="C327" s="13"/>
      <c r="D327" s="11"/>
      <c r="E327" s="11"/>
      <c r="F327" s="11"/>
      <c r="G327" s="1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>
      <c r="A328" s="11"/>
      <c r="B328" s="19"/>
      <c r="C328" s="13"/>
      <c r="D328" s="11"/>
      <c r="E328" s="11"/>
      <c r="F328" s="11"/>
      <c r="G328" s="1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>
      <c r="A329" s="11"/>
      <c r="B329" s="19"/>
      <c r="C329" s="13"/>
      <c r="D329" s="11"/>
      <c r="E329" s="11"/>
      <c r="F329" s="11"/>
      <c r="G329" s="1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>
      <c r="A330" s="11"/>
      <c r="B330" s="19"/>
      <c r="C330" s="13"/>
      <c r="D330" s="11"/>
      <c r="E330" s="11"/>
      <c r="F330" s="11"/>
      <c r="G330" s="1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>
      <c r="A331" s="11"/>
      <c r="B331" s="19"/>
      <c r="C331" s="13"/>
      <c r="D331" s="11"/>
      <c r="E331" s="11"/>
      <c r="F331" s="11"/>
      <c r="G331" s="1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>
      <c r="A332" s="11"/>
      <c r="B332" s="19"/>
      <c r="C332" s="13"/>
      <c r="D332" s="11"/>
      <c r="E332" s="11"/>
      <c r="F332" s="11"/>
      <c r="G332" s="1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>
      <c r="A333" s="11"/>
      <c r="B333" s="19"/>
      <c r="C333" s="13"/>
      <c r="D333" s="11"/>
      <c r="E333" s="11"/>
      <c r="F333" s="11"/>
      <c r="G333" s="1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>
      <c r="A334" s="11"/>
      <c r="B334" s="19"/>
      <c r="C334" s="13"/>
      <c r="D334" s="11"/>
      <c r="E334" s="11"/>
      <c r="F334" s="11"/>
      <c r="G334" s="1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>
      <c r="A335" s="11"/>
      <c r="B335" s="19"/>
      <c r="C335" s="13"/>
      <c r="D335" s="11"/>
      <c r="E335" s="11"/>
      <c r="F335" s="11"/>
      <c r="G335" s="1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>
      <c r="A336" s="11"/>
      <c r="B336" s="19"/>
      <c r="C336" s="13"/>
      <c r="D336" s="11"/>
      <c r="E336" s="11"/>
      <c r="F336" s="11"/>
      <c r="G336" s="1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>
      <c r="A337" s="11"/>
      <c r="B337" s="19"/>
      <c r="C337" s="13"/>
      <c r="D337" s="11"/>
      <c r="E337" s="11"/>
      <c r="F337" s="11"/>
      <c r="G337" s="1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>
      <c r="A338" s="11"/>
      <c r="B338" s="19"/>
      <c r="C338" s="13"/>
      <c r="D338" s="11"/>
      <c r="E338" s="11"/>
      <c r="F338" s="11"/>
      <c r="G338" s="1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>
      <c r="A339" s="11"/>
      <c r="B339" s="19"/>
      <c r="C339" s="13"/>
      <c r="D339" s="11"/>
      <c r="E339" s="11"/>
      <c r="F339" s="11"/>
      <c r="G339" s="1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>
      <c r="A340" s="11"/>
      <c r="B340" s="19"/>
      <c r="C340" s="13"/>
      <c r="D340" s="11"/>
      <c r="E340" s="11"/>
      <c r="F340" s="11"/>
      <c r="G340" s="1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>
      <c r="A341" s="11"/>
      <c r="B341" s="19"/>
      <c r="C341" s="13"/>
      <c r="D341" s="11"/>
      <c r="E341" s="11"/>
      <c r="F341" s="11"/>
      <c r="G341" s="1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>
      <c r="A342" s="11"/>
      <c r="B342" s="19"/>
      <c r="C342" s="13"/>
      <c r="D342" s="11"/>
      <c r="E342" s="11"/>
      <c r="F342" s="11"/>
      <c r="G342" s="1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>
      <c r="A343" s="11"/>
      <c r="B343" s="19"/>
      <c r="C343" s="13"/>
      <c r="D343" s="11"/>
      <c r="E343" s="11"/>
      <c r="F343" s="11"/>
      <c r="G343" s="1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>
      <c r="A344" s="11"/>
      <c r="B344" s="19"/>
      <c r="C344" s="13"/>
      <c r="D344" s="11"/>
      <c r="E344" s="11"/>
      <c r="F344" s="11"/>
      <c r="G344" s="1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>
      <c r="A345" s="11"/>
      <c r="B345" s="19"/>
      <c r="C345" s="13"/>
      <c r="D345" s="11"/>
      <c r="E345" s="11"/>
      <c r="F345" s="11"/>
      <c r="G345" s="1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>
      <c r="A346" s="11"/>
      <c r="B346" s="19"/>
      <c r="C346" s="13"/>
      <c r="D346" s="11"/>
      <c r="E346" s="11"/>
      <c r="F346" s="11"/>
      <c r="G346" s="1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>
      <c r="A347" s="11"/>
      <c r="B347" s="19"/>
      <c r="C347" s="13"/>
      <c r="D347" s="11"/>
      <c r="E347" s="11"/>
      <c r="F347" s="11"/>
      <c r="G347" s="1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>
      <c r="A348" s="11"/>
      <c r="B348" s="19"/>
      <c r="C348" s="13"/>
      <c r="D348" s="11"/>
      <c r="E348" s="11"/>
      <c r="F348" s="11"/>
      <c r="G348" s="1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>
      <c r="A349" s="11"/>
      <c r="B349" s="19"/>
      <c r="C349" s="13"/>
      <c r="D349" s="11"/>
      <c r="E349" s="11"/>
      <c r="F349" s="11"/>
      <c r="G349" s="1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>
      <c r="A350" s="11"/>
      <c r="B350" s="19"/>
      <c r="C350" s="13"/>
      <c r="D350" s="11"/>
      <c r="E350" s="11"/>
      <c r="F350" s="11"/>
      <c r="G350" s="1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>
      <c r="A351" s="11"/>
      <c r="B351" s="19"/>
      <c r="C351" s="13"/>
      <c r="D351" s="11"/>
      <c r="E351" s="11"/>
      <c r="F351" s="11"/>
      <c r="G351" s="1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>
      <c r="A352" s="11"/>
      <c r="B352" s="19"/>
      <c r="C352" s="13"/>
      <c r="D352" s="11"/>
      <c r="E352" s="11"/>
      <c r="F352" s="11"/>
      <c r="G352" s="1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>
      <c r="A353" s="11"/>
      <c r="B353" s="19"/>
      <c r="C353" s="13"/>
      <c r="D353" s="11"/>
      <c r="E353" s="11"/>
      <c r="F353" s="11"/>
      <c r="G353" s="1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>
      <c r="A354" s="11"/>
      <c r="B354" s="19"/>
      <c r="C354" s="13"/>
      <c r="D354" s="11"/>
      <c r="E354" s="11"/>
      <c r="F354" s="11"/>
      <c r="G354" s="1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>
      <c r="A355" s="11"/>
      <c r="B355" s="19"/>
      <c r="C355" s="13"/>
      <c r="D355" s="11"/>
      <c r="E355" s="11"/>
      <c r="F355" s="11"/>
      <c r="G355" s="1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>
      <c r="A356" s="11"/>
      <c r="B356" s="19"/>
      <c r="C356" s="13"/>
      <c r="D356" s="11"/>
      <c r="E356" s="11"/>
      <c r="F356" s="11"/>
      <c r="G356" s="1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>
      <c r="A357" s="11"/>
      <c r="B357" s="19"/>
      <c r="C357" s="13"/>
      <c r="D357" s="11"/>
      <c r="E357" s="11"/>
      <c r="F357" s="11"/>
      <c r="G357" s="1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>
      <c r="A358" s="11"/>
      <c r="B358" s="19"/>
      <c r="C358" s="13"/>
      <c r="D358" s="11"/>
      <c r="E358" s="11"/>
      <c r="F358" s="11"/>
      <c r="G358" s="1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>
      <c r="A359" s="11"/>
      <c r="B359" s="19"/>
      <c r="C359" s="13"/>
      <c r="D359" s="11"/>
      <c r="E359" s="11"/>
      <c r="F359" s="11"/>
      <c r="G359" s="1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>
      <c r="A360" s="11"/>
      <c r="B360" s="19"/>
      <c r="C360" s="13"/>
      <c r="D360" s="11"/>
      <c r="E360" s="11"/>
      <c r="F360" s="11"/>
      <c r="G360" s="1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>
      <c r="A361" s="11"/>
      <c r="B361" s="19"/>
      <c r="C361" s="13"/>
      <c r="D361" s="11"/>
      <c r="E361" s="11"/>
      <c r="F361" s="11"/>
      <c r="G361" s="1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>
      <c r="A362" s="11"/>
      <c r="B362" s="19"/>
      <c r="C362" s="13"/>
      <c r="D362" s="11"/>
      <c r="E362" s="11"/>
      <c r="F362" s="11"/>
      <c r="G362" s="1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>
      <c r="A363" s="11"/>
      <c r="B363" s="19"/>
      <c r="C363" s="13"/>
      <c r="D363" s="11"/>
      <c r="E363" s="11"/>
      <c r="F363" s="11"/>
      <c r="G363" s="1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>
      <c r="A364" s="11"/>
      <c r="B364" s="19"/>
      <c r="C364" s="13"/>
      <c r="D364" s="11"/>
      <c r="E364" s="11"/>
      <c r="F364" s="11"/>
      <c r="G364" s="1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>
      <c r="A365" s="11"/>
      <c r="B365" s="19"/>
      <c r="C365" s="13"/>
      <c r="D365" s="11"/>
      <c r="E365" s="11"/>
      <c r="F365" s="11"/>
      <c r="G365" s="1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>
      <c r="A366" s="11"/>
      <c r="B366" s="19"/>
      <c r="C366" s="13"/>
      <c r="D366" s="11"/>
      <c r="E366" s="11"/>
      <c r="F366" s="11"/>
      <c r="G366" s="1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>
      <c r="A367" s="11"/>
      <c r="B367" s="19"/>
      <c r="C367" s="13"/>
      <c r="D367" s="11"/>
      <c r="E367" s="11"/>
      <c r="F367" s="11"/>
      <c r="G367" s="1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>
      <c r="A368" s="11"/>
      <c r="B368" s="19"/>
      <c r="C368" s="13"/>
      <c r="D368" s="11"/>
      <c r="E368" s="11"/>
      <c r="F368" s="11"/>
      <c r="G368" s="1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>
      <c r="A369" s="11"/>
      <c r="B369" s="19"/>
      <c r="C369" s="13"/>
      <c r="D369" s="11"/>
      <c r="E369" s="11"/>
      <c r="F369" s="11"/>
      <c r="G369" s="1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>
      <c r="A370" s="11"/>
      <c r="B370" s="19"/>
      <c r="C370" s="13"/>
      <c r="D370" s="11"/>
      <c r="E370" s="11"/>
      <c r="F370" s="11"/>
      <c r="G370" s="1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>
      <c r="A371" s="11"/>
      <c r="B371" s="19"/>
      <c r="C371" s="13"/>
      <c r="D371" s="11"/>
      <c r="E371" s="11"/>
      <c r="F371" s="11"/>
      <c r="G371" s="1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>
      <c r="A372" s="11"/>
      <c r="B372" s="19"/>
      <c r="C372" s="13"/>
      <c r="D372" s="11"/>
      <c r="E372" s="11"/>
      <c r="F372" s="11"/>
      <c r="G372" s="1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>
      <c r="A373" s="11"/>
      <c r="B373" s="19"/>
      <c r="C373" s="13"/>
      <c r="D373" s="11"/>
      <c r="E373" s="11"/>
      <c r="F373" s="11"/>
      <c r="G373" s="1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>
      <c r="A374" s="11"/>
      <c r="B374" s="19"/>
      <c r="C374" s="13"/>
      <c r="D374" s="11"/>
      <c r="E374" s="11"/>
      <c r="F374" s="11"/>
      <c r="G374" s="1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>
      <c r="A375" s="11"/>
      <c r="B375" s="19"/>
      <c r="C375" s="13"/>
      <c r="D375" s="11"/>
      <c r="E375" s="11"/>
      <c r="F375" s="11"/>
      <c r="G375" s="1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>
      <c r="A376" s="11"/>
      <c r="B376" s="19"/>
      <c r="C376" s="13"/>
      <c r="D376" s="11"/>
      <c r="E376" s="11"/>
      <c r="F376" s="11"/>
      <c r="G376" s="1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>
      <c r="A377" s="11"/>
      <c r="B377" s="19"/>
      <c r="C377" s="13"/>
      <c r="D377" s="11"/>
      <c r="E377" s="11"/>
      <c r="F377" s="11"/>
      <c r="G377" s="1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>
      <c r="A378" s="11"/>
      <c r="B378" s="19"/>
      <c r="C378" s="13"/>
      <c r="D378" s="11"/>
      <c r="E378" s="11"/>
      <c r="F378" s="11"/>
      <c r="G378" s="1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>
      <c r="A379" s="11"/>
      <c r="B379" s="19"/>
      <c r="C379" s="13"/>
      <c r="D379" s="11"/>
      <c r="E379" s="11"/>
      <c r="F379" s="11"/>
      <c r="G379" s="1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>
      <c r="A380" s="11"/>
      <c r="B380" s="19"/>
      <c r="C380" s="13"/>
      <c r="D380" s="11"/>
      <c r="E380" s="11"/>
      <c r="F380" s="11"/>
      <c r="G380" s="1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>
      <c r="A381" s="11"/>
      <c r="B381" s="19"/>
      <c r="C381" s="13"/>
      <c r="D381" s="11"/>
      <c r="E381" s="11"/>
      <c r="F381" s="11"/>
      <c r="G381" s="1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>
      <c r="A382" s="11"/>
      <c r="B382" s="19"/>
      <c r="C382" s="13"/>
      <c r="D382" s="11"/>
      <c r="E382" s="11"/>
      <c r="F382" s="11"/>
      <c r="G382" s="1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>
      <c r="A383" s="11"/>
      <c r="B383" s="19"/>
      <c r="C383" s="13"/>
      <c r="D383" s="11"/>
      <c r="E383" s="11"/>
      <c r="F383" s="11"/>
      <c r="G383" s="1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>
      <c r="A384" s="11"/>
      <c r="B384" s="19"/>
      <c r="C384" s="13"/>
      <c r="D384" s="11"/>
      <c r="E384" s="11"/>
      <c r="F384" s="11"/>
      <c r="G384" s="1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>
      <c r="A385" s="11"/>
      <c r="B385" s="19"/>
      <c r="C385" s="13"/>
      <c r="D385" s="11"/>
      <c r="E385" s="11"/>
      <c r="F385" s="11"/>
      <c r="G385" s="1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>
      <c r="A386" s="11"/>
      <c r="B386" s="19"/>
      <c r="C386" s="13"/>
      <c r="D386" s="11"/>
      <c r="E386" s="11"/>
      <c r="F386" s="11"/>
      <c r="G386" s="1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>
      <c r="A387" s="11"/>
      <c r="B387" s="19"/>
      <c r="C387" s="13"/>
      <c r="D387" s="11"/>
      <c r="E387" s="11"/>
      <c r="F387" s="11"/>
      <c r="G387" s="1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>
      <c r="A388" s="11"/>
      <c r="B388" s="19"/>
      <c r="C388" s="13"/>
      <c r="D388" s="11"/>
      <c r="E388" s="11"/>
      <c r="F388" s="11"/>
      <c r="G388" s="1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>
      <c r="A389" s="11"/>
      <c r="B389" s="19"/>
      <c r="C389" s="13"/>
      <c r="D389" s="11"/>
      <c r="E389" s="11"/>
      <c r="F389" s="11"/>
      <c r="G389" s="1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>
      <c r="A390" s="11"/>
      <c r="B390" s="19"/>
      <c r="C390" s="13"/>
      <c r="D390" s="11"/>
      <c r="E390" s="11"/>
      <c r="F390" s="11"/>
      <c r="G390" s="1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>
      <c r="A391" s="11"/>
      <c r="B391" s="19"/>
      <c r="C391" s="13"/>
      <c r="D391" s="11"/>
      <c r="E391" s="11"/>
      <c r="F391" s="11"/>
      <c r="G391" s="1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>
      <c r="A392" s="11"/>
      <c r="B392" s="19"/>
      <c r="C392" s="13"/>
      <c r="D392" s="11"/>
      <c r="E392" s="11"/>
      <c r="F392" s="11"/>
      <c r="G392" s="1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>
      <c r="A393" s="11"/>
      <c r="B393" s="19"/>
      <c r="C393" s="13"/>
      <c r="D393" s="11"/>
      <c r="E393" s="11"/>
      <c r="F393" s="11"/>
      <c r="G393" s="1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>
      <c r="A394" s="11"/>
      <c r="B394" s="19"/>
      <c r="C394" s="13"/>
      <c r="D394" s="11"/>
      <c r="E394" s="11"/>
      <c r="F394" s="11"/>
      <c r="G394" s="1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>
      <c r="A395" s="11"/>
      <c r="B395" s="19"/>
      <c r="C395" s="13"/>
      <c r="D395" s="11"/>
      <c r="E395" s="11"/>
      <c r="F395" s="11"/>
      <c r="G395" s="1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>
      <c r="A396" s="11"/>
      <c r="B396" s="19"/>
      <c r="C396" s="13"/>
      <c r="D396" s="11"/>
      <c r="E396" s="11"/>
      <c r="F396" s="11"/>
      <c r="G396" s="1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>
      <c r="A397" s="11"/>
      <c r="B397" s="19"/>
      <c r="C397" s="13"/>
      <c r="D397" s="11"/>
      <c r="E397" s="11"/>
      <c r="F397" s="11"/>
      <c r="G397" s="1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>
      <c r="A398" s="11"/>
      <c r="B398" s="19"/>
      <c r="C398" s="13"/>
      <c r="D398" s="11"/>
      <c r="E398" s="11"/>
      <c r="F398" s="11"/>
      <c r="G398" s="1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>
      <c r="A399" s="11"/>
      <c r="B399" s="19"/>
      <c r="C399" s="13"/>
      <c r="D399" s="11"/>
      <c r="E399" s="11"/>
      <c r="F399" s="11"/>
      <c r="G399" s="1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>
      <c r="A400" s="11"/>
      <c r="B400" s="19"/>
      <c r="C400" s="13"/>
      <c r="D400" s="11"/>
      <c r="E400" s="11"/>
      <c r="F400" s="11"/>
      <c r="G400" s="1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>
      <c r="A401" s="11"/>
      <c r="B401" s="19"/>
      <c r="C401" s="13"/>
      <c r="D401" s="11"/>
      <c r="E401" s="11"/>
      <c r="F401" s="11"/>
      <c r="G401" s="1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>
      <c r="A402" s="11"/>
      <c r="B402" s="19"/>
      <c r="C402" s="13"/>
      <c r="D402" s="11"/>
      <c r="E402" s="11"/>
      <c r="F402" s="11"/>
      <c r="G402" s="1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>
      <c r="A403" s="11"/>
      <c r="B403" s="19"/>
      <c r="C403" s="13"/>
      <c r="D403" s="11"/>
      <c r="E403" s="11"/>
      <c r="F403" s="11"/>
      <c r="G403" s="1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>
      <c r="A404" s="11"/>
      <c r="B404" s="19"/>
      <c r="C404" s="13"/>
      <c r="D404" s="11"/>
      <c r="E404" s="11"/>
      <c r="F404" s="11"/>
      <c r="G404" s="1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>
      <c r="A405" s="11"/>
      <c r="B405" s="19"/>
      <c r="C405" s="13"/>
      <c r="D405" s="11"/>
      <c r="E405" s="11"/>
      <c r="F405" s="11"/>
      <c r="G405" s="1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>
      <c r="A406" s="11"/>
      <c r="B406" s="19"/>
      <c r="C406" s="13"/>
      <c r="D406" s="11"/>
      <c r="E406" s="11"/>
      <c r="F406" s="11"/>
      <c r="G406" s="1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>
      <c r="A407" s="11"/>
      <c r="B407" s="19"/>
      <c r="C407" s="13"/>
      <c r="D407" s="11"/>
      <c r="E407" s="11"/>
      <c r="F407" s="11"/>
      <c r="G407" s="1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>
      <c r="A408" s="11"/>
      <c r="B408" s="19"/>
      <c r="C408" s="13"/>
      <c r="D408" s="11"/>
      <c r="E408" s="11"/>
      <c r="F408" s="11"/>
      <c r="G408" s="1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>
      <c r="A409" s="11"/>
      <c r="B409" s="19"/>
      <c r="C409" s="13"/>
      <c r="D409" s="11"/>
      <c r="E409" s="11"/>
      <c r="F409" s="11"/>
      <c r="G409" s="1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>
      <c r="A410" s="11"/>
      <c r="B410" s="19"/>
      <c r="C410" s="13"/>
      <c r="D410" s="11"/>
      <c r="E410" s="11"/>
      <c r="F410" s="11"/>
      <c r="G410" s="1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>
      <c r="A411" s="11"/>
      <c r="B411" s="19"/>
      <c r="C411" s="13"/>
      <c r="D411" s="11"/>
      <c r="E411" s="11"/>
      <c r="F411" s="11"/>
      <c r="G411" s="1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>
      <c r="A412" s="11"/>
      <c r="B412" s="19"/>
      <c r="C412" s="13"/>
      <c r="D412" s="11"/>
      <c r="E412" s="11"/>
      <c r="F412" s="11"/>
      <c r="G412" s="1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>
      <c r="A413" s="11"/>
      <c r="B413" s="19"/>
      <c r="C413" s="13"/>
      <c r="D413" s="11"/>
      <c r="E413" s="11"/>
      <c r="F413" s="11"/>
      <c r="G413" s="1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>
      <c r="A414" s="11"/>
      <c r="B414" s="19"/>
      <c r="C414" s="13"/>
      <c r="D414" s="11"/>
      <c r="E414" s="11"/>
      <c r="F414" s="11"/>
      <c r="G414" s="1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>
      <c r="A415" s="11"/>
      <c r="B415" s="19"/>
      <c r="C415" s="13"/>
      <c r="D415" s="11"/>
      <c r="E415" s="11"/>
      <c r="F415" s="11"/>
      <c r="G415" s="1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>
      <c r="A416" s="11"/>
      <c r="B416" s="19"/>
      <c r="C416" s="13"/>
      <c r="D416" s="11"/>
      <c r="E416" s="11"/>
      <c r="F416" s="11"/>
      <c r="G416" s="1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>
      <c r="A417" s="11"/>
      <c r="B417" s="19"/>
      <c r="C417" s="13"/>
      <c r="D417" s="11"/>
      <c r="E417" s="11"/>
      <c r="F417" s="11"/>
      <c r="G417" s="1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>
      <c r="A418" s="11"/>
      <c r="B418" s="19"/>
      <c r="C418" s="13"/>
      <c r="D418" s="11"/>
      <c r="E418" s="11"/>
      <c r="F418" s="11"/>
      <c r="G418" s="1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>
      <c r="A419" s="11"/>
      <c r="B419" s="19"/>
      <c r="C419" s="13"/>
      <c r="D419" s="11"/>
      <c r="E419" s="11"/>
      <c r="F419" s="11"/>
      <c r="G419" s="1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>
      <c r="A420" s="11"/>
      <c r="B420" s="19"/>
      <c r="C420" s="13"/>
      <c r="D420" s="11"/>
      <c r="E420" s="11"/>
      <c r="F420" s="11"/>
      <c r="G420" s="1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>
      <c r="A421" s="11"/>
      <c r="B421" s="19"/>
      <c r="C421" s="13"/>
      <c r="D421" s="11"/>
      <c r="E421" s="11"/>
      <c r="F421" s="11"/>
      <c r="G421" s="1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>
      <c r="A422" s="11"/>
      <c r="B422" s="19"/>
      <c r="C422" s="13"/>
      <c r="D422" s="11"/>
      <c r="E422" s="11"/>
      <c r="F422" s="11"/>
      <c r="G422" s="1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>
      <c r="A423" s="11"/>
      <c r="B423" s="19"/>
      <c r="C423" s="13"/>
      <c r="D423" s="11"/>
      <c r="E423" s="11"/>
      <c r="F423" s="11"/>
      <c r="G423" s="1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>
      <c r="A424" s="11"/>
      <c r="B424" s="19"/>
      <c r="C424" s="13"/>
      <c r="D424" s="11"/>
      <c r="E424" s="11"/>
      <c r="F424" s="11"/>
      <c r="G424" s="1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>
      <c r="A425" s="11"/>
      <c r="B425" s="19"/>
      <c r="C425" s="13"/>
      <c r="D425" s="11"/>
      <c r="E425" s="11"/>
      <c r="F425" s="11"/>
      <c r="G425" s="1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>
      <c r="A426" s="11"/>
      <c r="B426" s="19"/>
      <c r="C426" s="13"/>
      <c r="D426" s="11"/>
      <c r="E426" s="11"/>
      <c r="F426" s="11"/>
      <c r="G426" s="1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>
      <c r="A427" s="11"/>
      <c r="B427" s="19"/>
      <c r="C427" s="13"/>
      <c r="D427" s="11"/>
      <c r="E427" s="11"/>
      <c r="F427" s="11"/>
      <c r="G427" s="1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>
      <c r="A428" s="11"/>
      <c r="B428" s="19"/>
      <c r="C428" s="13"/>
      <c r="D428" s="11"/>
      <c r="E428" s="11"/>
      <c r="F428" s="11"/>
      <c r="G428" s="1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>
      <c r="A429" s="11"/>
      <c r="B429" s="19"/>
      <c r="C429" s="13"/>
      <c r="D429" s="11"/>
      <c r="E429" s="11"/>
      <c r="F429" s="11"/>
      <c r="G429" s="1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>
      <c r="A430" s="11"/>
      <c r="B430" s="19"/>
      <c r="C430" s="13"/>
      <c r="D430" s="11"/>
      <c r="E430" s="11"/>
      <c r="F430" s="11"/>
      <c r="G430" s="1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>
      <c r="A431" s="11"/>
      <c r="B431" s="19"/>
      <c r="C431" s="13"/>
      <c r="D431" s="11"/>
      <c r="E431" s="11"/>
      <c r="F431" s="11"/>
      <c r="G431" s="1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>
      <c r="A432" s="11"/>
      <c r="B432" s="19"/>
      <c r="C432" s="13"/>
      <c r="D432" s="11"/>
      <c r="E432" s="11"/>
      <c r="F432" s="11"/>
      <c r="G432" s="1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>
      <c r="A433" s="11"/>
      <c r="B433" s="19"/>
      <c r="C433" s="13"/>
      <c r="D433" s="11"/>
      <c r="E433" s="11"/>
      <c r="F433" s="11"/>
      <c r="G433" s="1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>
      <c r="A434" s="11"/>
      <c r="B434" s="19"/>
      <c r="C434" s="13"/>
      <c r="D434" s="11"/>
      <c r="E434" s="11"/>
      <c r="F434" s="11"/>
      <c r="G434" s="1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>
      <c r="A435" s="11"/>
      <c r="B435" s="19"/>
      <c r="C435" s="13"/>
      <c r="D435" s="11"/>
      <c r="E435" s="11"/>
      <c r="F435" s="11"/>
      <c r="G435" s="1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>
      <c r="A436" s="11"/>
      <c r="B436" s="19"/>
      <c r="C436" s="13"/>
      <c r="D436" s="11"/>
      <c r="E436" s="11"/>
      <c r="F436" s="11"/>
      <c r="G436" s="1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>
      <c r="A437" s="11"/>
      <c r="B437" s="19"/>
      <c r="C437" s="13"/>
      <c r="D437" s="11"/>
      <c r="E437" s="11"/>
      <c r="F437" s="11"/>
      <c r="G437" s="1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>
      <c r="A438" s="11"/>
      <c r="B438" s="19"/>
      <c r="C438" s="13"/>
      <c r="D438" s="11"/>
      <c r="E438" s="11"/>
      <c r="F438" s="11"/>
      <c r="G438" s="1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>
      <c r="A439" s="11"/>
      <c r="B439" s="19"/>
      <c r="C439" s="13"/>
      <c r="D439" s="11"/>
      <c r="E439" s="11"/>
      <c r="F439" s="11"/>
      <c r="G439" s="1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>
      <c r="A440" s="11"/>
      <c r="B440" s="19"/>
      <c r="C440" s="13"/>
      <c r="D440" s="11"/>
      <c r="E440" s="11"/>
      <c r="F440" s="11"/>
      <c r="G440" s="1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>
      <c r="A441" s="11"/>
      <c r="B441" s="19"/>
      <c r="C441" s="13"/>
      <c r="D441" s="11"/>
      <c r="E441" s="11"/>
      <c r="F441" s="11"/>
      <c r="G441" s="1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>
      <c r="A442" s="11"/>
      <c r="B442" s="19"/>
      <c r="C442" s="13"/>
      <c r="D442" s="11"/>
      <c r="E442" s="11"/>
      <c r="F442" s="11"/>
      <c r="G442" s="1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>
      <c r="A443" s="11"/>
      <c r="B443" s="19"/>
      <c r="C443" s="13"/>
      <c r="D443" s="11"/>
      <c r="E443" s="11"/>
      <c r="F443" s="11"/>
      <c r="G443" s="1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>
      <c r="A444" s="11"/>
      <c r="B444" s="19"/>
      <c r="C444" s="13"/>
      <c r="D444" s="11"/>
      <c r="E444" s="11"/>
      <c r="F444" s="11"/>
      <c r="G444" s="1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>
      <c r="A445" s="11"/>
      <c r="B445" s="19"/>
      <c r="C445" s="13"/>
      <c r="D445" s="11"/>
      <c r="E445" s="11"/>
      <c r="F445" s="11"/>
      <c r="G445" s="1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>
      <c r="A446" s="11"/>
      <c r="B446" s="19"/>
      <c r="C446" s="13"/>
      <c r="D446" s="11"/>
      <c r="E446" s="11"/>
      <c r="F446" s="11"/>
      <c r="G446" s="1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>
      <c r="A447" s="11"/>
      <c r="B447" s="19"/>
      <c r="C447" s="13"/>
      <c r="D447" s="11"/>
      <c r="E447" s="11"/>
      <c r="F447" s="11"/>
      <c r="G447" s="1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>
      <c r="A448" s="11"/>
      <c r="B448" s="19"/>
      <c r="C448" s="13"/>
      <c r="D448" s="11"/>
      <c r="E448" s="11"/>
      <c r="F448" s="11"/>
      <c r="G448" s="1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>
      <c r="A449" s="11"/>
      <c r="B449" s="19"/>
      <c r="C449" s="13"/>
      <c r="D449" s="11"/>
      <c r="E449" s="11"/>
      <c r="F449" s="11"/>
      <c r="G449" s="1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>
      <c r="A450" s="11"/>
      <c r="B450" s="19"/>
      <c r="C450" s="13"/>
      <c r="D450" s="11"/>
      <c r="E450" s="11"/>
      <c r="F450" s="11"/>
      <c r="G450" s="1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>
      <c r="A451" s="11"/>
      <c r="B451" s="19"/>
      <c r="C451" s="13"/>
      <c r="D451" s="11"/>
      <c r="E451" s="11"/>
      <c r="F451" s="11"/>
      <c r="G451" s="1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>
      <c r="A452" s="11"/>
      <c r="B452" s="19"/>
      <c r="C452" s="13"/>
      <c r="D452" s="11"/>
      <c r="E452" s="11"/>
      <c r="F452" s="11"/>
      <c r="G452" s="1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>
      <c r="A453" s="11"/>
      <c r="B453" s="19"/>
      <c r="C453" s="13"/>
      <c r="D453" s="11"/>
      <c r="E453" s="11"/>
      <c r="F453" s="11"/>
      <c r="G453" s="1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>
      <c r="A454" s="11"/>
      <c r="B454" s="19"/>
      <c r="C454" s="13"/>
      <c r="D454" s="11"/>
      <c r="E454" s="11"/>
      <c r="F454" s="11"/>
      <c r="G454" s="1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>
      <c r="A455" s="11"/>
      <c r="B455" s="19"/>
      <c r="C455" s="13"/>
      <c r="D455" s="11"/>
      <c r="E455" s="11"/>
      <c r="F455" s="11"/>
      <c r="G455" s="1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>
      <c r="A456" s="11"/>
      <c r="B456" s="19"/>
      <c r="C456" s="13"/>
      <c r="D456" s="11"/>
      <c r="E456" s="11"/>
      <c r="F456" s="11"/>
      <c r="G456" s="1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>
      <c r="A457" s="11"/>
      <c r="B457" s="19"/>
      <c r="C457" s="13"/>
      <c r="D457" s="11"/>
      <c r="E457" s="11"/>
      <c r="F457" s="11"/>
      <c r="G457" s="1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>
      <c r="A458" s="11"/>
      <c r="B458" s="19"/>
      <c r="C458" s="13"/>
      <c r="D458" s="11"/>
      <c r="E458" s="11"/>
      <c r="F458" s="11"/>
      <c r="G458" s="1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>
      <c r="A459" s="11"/>
      <c r="B459" s="19"/>
      <c r="C459" s="13"/>
      <c r="D459" s="11"/>
      <c r="E459" s="11"/>
      <c r="F459" s="11"/>
      <c r="G459" s="1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>
      <c r="A460" s="11"/>
      <c r="B460" s="19"/>
      <c r="C460" s="13"/>
      <c r="D460" s="11"/>
      <c r="E460" s="11"/>
      <c r="F460" s="11"/>
      <c r="G460" s="1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>
      <c r="A461" s="11"/>
      <c r="B461" s="19"/>
      <c r="C461" s="13"/>
      <c r="D461" s="11"/>
      <c r="E461" s="11"/>
      <c r="F461" s="11"/>
      <c r="G461" s="1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>
      <c r="A462" s="11"/>
      <c r="B462" s="19"/>
      <c r="C462" s="13"/>
      <c r="D462" s="11"/>
      <c r="E462" s="11"/>
      <c r="F462" s="11"/>
      <c r="G462" s="1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>
      <c r="A463" s="11"/>
      <c r="B463" s="19"/>
      <c r="C463" s="13"/>
      <c r="D463" s="11"/>
      <c r="E463" s="11"/>
      <c r="F463" s="11"/>
      <c r="G463" s="1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>
      <c r="A464" s="11"/>
      <c r="B464" s="19"/>
      <c r="C464" s="13"/>
      <c r="D464" s="11"/>
      <c r="E464" s="11"/>
      <c r="F464" s="11"/>
      <c r="G464" s="1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>
      <c r="A465" s="11"/>
      <c r="B465" s="19"/>
      <c r="C465" s="13"/>
      <c r="D465" s="11"/>
      <c r="E465" s="11"/>
      <c r="F465" s="11"/>
      <c r="G465" s="1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>
      <c r="A466" s="11"/>
      <c r="B466" s="19"/>
      <c r="C466" s="13"/>
      <c r="D466" s="11"/>
      <c r="E466" s="11"/>
      <c r="F466" s="11"/>
      <c r="G466" s="1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>
      <c r="A467" s="11"/>
      <c r="B467" s="19"/>
      <c r="C467" s="13"/>
      <c r="D467" s="11"/>
      <c r="E467" s="11"/>
      <c r="F467" s="11"/>
      <c r="G467" s="1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>
      <c r="A468" s="11"/>
      <c r="B468" s="19"/>
      <c r="C468" s="13"/>
      <c r="D468" s="11"/>
      <c r="E468" s="11"/>
      <c r="F468" s="11"/>
      <c r="G468" s="1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>
      <c r="A469" s="11"/>
      <c r="B469" s="19"/>
      <c r="C469" s="13"/>
      <c r="D469" s="11"/>
      <c r="E469" s="11"/>
      <c r="F469" s="11"/>
      <c r="G469" s="1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>
      <c r="A470" s="11"/>
      <c r="B470" s="19"/>
      <c r="C470" s="13"/>
      <c r="D470" s="11"/>
      <c r="E470" s="11"/>
      <c r="F470" s="11"/>
      <c r="G470" s="1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>
      <c r="A471" s="11"/>
      <c r="B471" s="19"/>
      <c r="C471" s="13"/>
      <c r="D471" s="11"/>
      <c r="E471" s="11"/>
      <c r="F471" s="11"/>
      <c r="G471" s="1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>
      <c r="A472" s="11"/>
      <c r="B472" s="19"/>
      <c r="C472" s="13"/>
      <c r="D472" s="11"/>
      <c r="E472" s="11"/>
      <c r="F472" s="11"/>
      <c r="G472" s="1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>
      <c r="A473" s="11"/>
      <c r="B473" s="19"/>
      <c r="C473" s="13"/>
      <c r="D473" s="11"/>
      <c r="E473" s="11"/>
      <c r="F473" s="11"/>
      <c r="G473" s="1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>
      <c r="A474" s="11"/>
      <c r="B474" s="19"/>
      <c r="C474" s="13"/>
      <c r="D474" s="11"/>
      <c r="E474" s="11"/>
      <c r="F474" s="11"/>
      <c r="G474" s="1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>
      <c r="A475" s="11"/>
      <c r="B475" s="19"/>
      <c r="C475" s="13"/>
      <c r="D475" s="11"/>
      <c r="E475" s="11"/>
      <c r="F475" s="11"/>
      <c r="G475" s="1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>
      <c r="A476" s="11"/>
      <c r="B476" s="19"/>
      <c r="C476" s="13"/>
      <c r="D476" s="11"/>
      <c r="E476" s="11"/>
      <c r="F476" s="11"/>
      <c r="G476" s="1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>
      <c r="A477" s="11"/>
      <c r="B477" s="19"/>
      <c r="C477" s="13"/>
      <c r="D477" s="11"/>
      <c r="E477" s="11"/>
      <c r="F477" s="11"/>
      <c r="G477" s="1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>
      <c r="A478" s="11"/>
      <c r="B478" s="19"/>
      <c r="C478" s="13"/>
      <c r="D478" s="11"/>
      <c r="E478" s="11"/>
      <c r="F478" s="11"/>
      <c r="G478" s="1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>
      <c r="A479" s="11"/>
      <c r="B479" s="19"/>
      <c r="C479" s="13"/>
      <c r="D479" s="11"/>
      <c r="E479" s="11"/>
      <c r="F479" s="11"/>
      <c r="G479" s="1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>
      <c r="A480" s="11"/>
      <c r="B480" s="19"/>
      <c r="C480" s="13"/>
      <c r="D480" s="11"/>
      <c r="E480" s="11"/>
      <c r="F480" s="11"/>
      <c r="G480" s="1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>
      <c r="A481" s="11"/>
      <c r="B481" s="19"/>
      <c r="C481" s="13"/>
      <c r="D481" s="11"/>
      <c r="E481" s="11"/>
      <c r="F481" s="11"/>
      <c r="G481" s="1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>
      <c r="A482" s="11"/>
      <c r="B482" s="19"/>
      <c r="C482" s="13"/>
      <c r="D482" s="11"/>
      <c r="E482" s="11"/>
      <c r="F482" s="11"/>
      <c r="G482" s="1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>
      <c r="A483" s="11"/>
      <c r="B483" s="19"/>
      <c r="C483" s="13"/>
      <c r="D483" s="11"/>
      <c r="E483" s="11"/>
      <c r="F483" s="11"/>
      <c r="G483" s="1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>
      <c r="A484" s="11"/>
      <c r="B484" s="19"/>
      <c r="C484" s="13"/>
      <c r="D484" s="11"/>
      <c r="E484" s="11"/>
      <c r="F484" s="11"/>
      <c r="G484" s="1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>
      <c r="A485" s="11"/>
      <c r="B485" s="19"/>
      <c r="C485" s="13"/>
      <c r="D485" s="11"/>
      <c r="E485" s="11"/>
      <c r="F485" s="11"/>
      <c r="G485" s="1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>
      <c r="A486" s="11"/>
      <c r="B486" s="19"/>
      <c r="C486" s="13"/>
      <c r="D486" s="11"/>
      <c r="E486" s="11"/>
      <c r="F486" s="11"/>
      <c r="G486" s="1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>
      <c r="A487" s="11"/>
      <c r="B487" s="19"/>
      <c r="C487" s="13"/>
      <c r="D487" s="11"/>
      <c r="E487" s="11"/>
      <c r="F487" s="11"/>
      <c r="G487" s="1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>
      <c r="A488" s="11"/>
      <c r="B488" s="19"/>
      <c r="C488" s="13"/>
      <c r="D488" s="11"/>
      <c r="E488" s="11"/>
      <c r="F488" s="11"/>
      <c r="G488" s="1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>
      <c r="A489" s="11"/>
      <c r="B489" s="19"/>
      <c r="C489" s="13"/>
      <c r="D489" s="11"/>
      <c r="E489" s="11"/>
      <c r="F489" s="11"/>
      <c r="G489" s="1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>
      <c r="A490" s="11"/>
      <c r="B490" s="19"/>
      <c r="C490" s="13"/>
      <c r="D490" s="11"/>
      <c r="E490" s="11"/>
      <c r="F490" s="11"/>
      <c r="G490" s="1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>
      <c r="A491" s="11"/>
      <c r="B491" s="19"/>
      <c r="C491" s="13"/>
      <c r="D491" s="11"/>
      <c r="E491" s="11"/>
      <c r="F491" s="11"/>
      <c r="G491" s="1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>
      <c r="A492" s="11"/>
      <c r="B492" s="19"/>
      <c r="C492" s="13"/>
      <c r="D492" s="11"/>
      <c r="E492" s="11"/>
      <c r="F492" s="11"/>
      <c r="G492" s="1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>
      <c r="A493" s="11"/>
      <c r="B493" s="19"/>
      <c r="C493" s="13"/>
      <c r="D493" s="11"/>
      <c r="E493" s="11"/>
      <c r="F493" s="11"/>
      <c r="G493" s="1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>
      <c r="A494" s="11"/>
      <c r="B494" s="19"/>
      <c r="C494" s="13"/>
      <c r="D494" s="11"/>
      <c r="E494" s="11"/>
      <c r="F494" s="11"/>
      <c r="G494" s="1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>
      <c r="A495" s="11"/>
      <c r="B495" s="19"/>
      <c r="C495" s="13"/>
      <c r="D495" s="11"/>
      <c r="E495" s="11"/>
      <c r="F495" s="11"/>
      <c r="G495" s="1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>
      <c r="A496" s="11"/>
      <c r="B496" s="19"/>
      <c r="C496" s="13"/>
      <c r="D496" s="11"/>
      <c r="E496" s="11"/>
      <c r="F496" s="11"/>
      <c r="G496" s="1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>
      <c r="A497" s="11"/>
      <c r="B497" s="19"/>
      <c r="C497" s="13"/>
      <c r="D497" s="11"/>
      <c r="E497" s="11"/>
      <c r="F497" s="11"/>
      <c r="G497" s="1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>
      <c r="A498" s="11"/>
      <c r="B498" s="19"/>
      <c r="C498" s="13"/>
      <c r="D498" s="11"/>
      <c r="E498" s="11"/>
      <c r="F498" s="11"/>
      <c r="G498" s="1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>
      <c r="A499" s="11"/>
      <c r="B499" s="19"/>
      <c r="C499" s="13"/>
      <c r="D499" s="11"/>
      <c r="E499" s="11"/>
      <c r="F499" s="11"/>
      <c r="G499" s="19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>
      <c r="A500" s="11"/>
      <c r="B500" s="19"/>
      <c r="C500" s="13"/>
      <c r="D500" s="11"/>
      <c r="E500" s="11"/>
      <c r="F500" s="11"/>
      <c r="G500" s="19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  <row r="501">
      <c r="A501" s="11"/>
      <c r="B501" s="19"/>
      <c r="C501" s="13"/>
      <c r="D501" s="11"/>
      <c r="E501" s="11"/>
      <c r="F501" s="11"/>
      <c r="G501" s="19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</row>
    <row r="502">
      <c r="A502" s="11"/>
      <c r="B502" s="19"/>
      <c r="C502" s="13"/>
      <c r="D502" s="11"/>
      <c r="E502" s="11"/>
      <c r="F502" s="11"/>
      <c r="G502" s="19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</row>
    <row r="503">
      <c r="A503" s="11"/>
      <c r="B503" s="19"/>
      <c r="C503" s="13"/>
      <c r="D503" s="11"/>
      <c r="E503" s="11"/>
      <c r="F503" s="11"/>
      <c r="G503" s="19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</row>
    <row r="504">
      <c r="A504" s="11"/>
      <c r="B504" s="19"/>
      <c r="C504" s="13"/>
      <c r="D504" s="11"/>
      <c r="E504" s="11"/>
      <c r="F504" s="11"/>
      <c r="G504" s="19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</row>
    <row r="505">
      <c r="A505" s="11"/>
      <c r="B505" s="19"/>
      <c r="C505" s="13"/>
      <c r="D505" s="11"/>
      <c r="E505" s="11"/>
      <c r="F505" s="11"/>
      <c r="G505" s="19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</row>
    <row r="506">
      <c r="A506" s="11"/>
      <c r="B506" s="19"/>
      <c r="C506" s="13"/>
      <c r="D506" s="11"/>
      <c r="E506" s="11"/>
      <c r="F506" s="11"/>
      <c r="G506" s="19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</row>
    <row r="507">
      <c r="A507" s="11"/>
      <c r="B507" s="19"/>
      <c r="C507" s="13"/>
      <c r="D507" s="11"/>
      <c r="E507" s="11"/>
      <c r="F507" s="11"/>
      <c r="G507" s="19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</row>
    <row r="508">
      <c r="A508" s="11"/>
      <c r="B508" s="19"/>
      <c r="C508" s="13"/>
      <c r="D508" s="11"/>
      <c r="E508" s="11"/>
      <c r="F508" s="11"/>
      <c r="G508" s="19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</row>
    <row r="509">
      <c r="A509" s="11"/>
      <c r="B509" s="19"/>
      <c r="C509" s="13"/>
      <c r="D509" s="11"/>
      <c r="E509" s="11"/>
      <c r="F509" s="11"/>
      <c r="G509" s="19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</row>
    <row r="510">
      <c r="A510" s="11"/>
      <c r="B510" s="19"/>
      <c r="C510" s="13"/>
      <c r="D510" s="11"/>
      <c r="E510" s="11"/>
      <c r="F510" s="11"/>
      <c r="G510" s="19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</row>
    <row r="511">
      <c r="A511" s="11"/>
      <c r="B511" s="19"/>
      <c r="C511" s="13"/>
      <c r="D511" s="11"/>
      <c r="E511" s="11"/>
      <c r="F511" s="11"/>
      <c r="G511" s="19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</row>
    <row r="512">
      <c r="A512" s="11"/>
      <c r="B512" s="19"/>
      <c r="C512" s="13"/>
      <c r="D512" s="11"/>
      <c r="E512" s="11"/>
      <c r="F512" s="11"/>
      <c r="G512" s="19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</row>
    <row r="513">
      <c r="A513" s="11"/>
      <c r="B513" s="19"/>
      <c r="C513" s="13"/>
      <c r="D513" s="11"/>
      <c r="E513" s="11"/>
      <c r="F513" s="11"/>
      <c r="G513" s="19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</row>
    <row r="514">
      <c r="A514" s="11"/>
      <c r="B514" s="19"/>
      <c r="C514" s="13"/>
      <c r="D514" s="11"/>
      <c r="E514" s="11"/>
      <c r="F514" s="11"/>
      <c r="G514" s="19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</row>
    <row r="515">
      <c r="A515" s="11"/>
      <c r="B515" s="19"/>
      <c r="C515" s="13"/>
      <c r="D515" s="11"/>
      <c r="E515" s="11"/>
      <c r="F515" s="11"/>
      <c r="G515" s="19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</row>
    <row r="516">
      <c r="A516" s="11"/>
      <c r="B516" s="19"/>
      <c r="C516" s="13"/>
      <c r="D516" s="11"/>
      <c r="E516" s="11"/>
      <c r="F516" s="11"/>
      <c r="G516" s="19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</row>
    <row r="517">
      <c r="A517" s="11"/>
      <c r="B517" s="19"/>
      <c r="C517" s="13"/>
      <c r="D517" s="11"/>
      <c r="E517" s="11"/>
      <c r="F517" s="11"/>
      <c r="G517" s="19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</row>
    <row r="518">
      <c r="A518" s="11"/>
      <c r="B518" s="19"/>
      <c r="C518" s="13"/>
      <c r="D518" s="11"/>
      <c r="E518" s="11"/>
      <c r="F518" s="11"/>
      <c r="G518" s="19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</row>
    <row r="519">
      <c r="A519" s="11"/>
      <c r="B519" s="19"/>
      <c r="C519" s="13"/>
      <c r="D519" s="11"/>
      <c r="E519" s="11"/>
      <c r="F519" s="11"/>
      <c r="G519" s="19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</row>
    <row r="520">
      <c r="A520" s="11"/>
      <c r="B520" s="19"/>
      <c r="C520" s="13"/>
      <c r="D520" s="11"/>
      <c r="E520" s="11"/>
      <c r="F520" s="11"/>
      <c r="G520" s="19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</row>
    <row r="521">
      <c r="A521" s="11"/>
      <c r="B521" s="19"/>
      <c r="C521" s="13"/>
      <c r="D521" s="11"/>
      <c r="E521" s="11"/>
      <c r="F521" s="11"/>
      <c r="G521" s="19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</row>
    <row r="522">
      <c r="A522" s="11"/>
      <c r="B522" s="19"/>
      <c r="C522" s="13"/>
      <c r="D522" s="11"/>
      <c r="E522" s="11"/>
      <c r="F522" s="11"/>
      <c r="G522" s="19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</row>
    <row r="523">
      <c r="A523" s="11"/>
      <c r="B523" s="19"/>
      <c r="C523" s="13"/>
      <c r="D523" s="11"/>
      <c r="E523" s="11"/>
      <c r="F523" s="11"/>
      <c r="G523" s="19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</row>
    <row r="524">
      <c r="A524" s="11"/>
      <c r="B524" s="19"/>
      <c r="C524" s="13"/>
      <c r="D524" s="11"/>
      <c r="E524" s="11"/>
      <c r="F524" s="11"/>
      <c r="G524" s="19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</row>
    <row r="525">
      <c r="A525" s="11"/>
      <c r="B525" s="19"/>
      <c r="C525" s="13"/>
      <c r="D525" s="11"/>
      <c r="E525" s="11"/>
      <c r="F525" s="11"/>
      <c r="G525" s="19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</row>
    <row r="526">
      <c r="A526" s="11"/>
      <c r="B526" s="19"/>
      <c r="C526" s="13"/>
      <c r="D526" s="11"/>
      <c r="E526" s="11"/>
      <c r="F526" s="11"/>
      <c r="G526" s="19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</row>
    <row r="527">
      <c r="A527" s="11"/>
      <c r="B527" s="19"/>
      <c r="C527" s="13"/>
      <c r="D527" s="11"/>
      <c r="E527" s="11"/>
      <c r="F527" s="11"/>
      <c r="G527" s="19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</row>
    <row r="528">
      <c r="A528" s="11"/>
      <c r="B528" s="19"/>
      <c r="C528" s="13"/>
      <c r="D528" s="11"/>
      <c r="E528" s="11"/>
      <c r="F528" s="11"/>
      <c r="G528" s="19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</row>
    <row r="529">
      <c r="A529" s="11"/>
      <c r="B529" s="19"/>
      <c r="C529" s="13"/>
      <c r="D529" s="11"/>
      <c r="E529" s="11"/>
      <c r="F529" s="11"/>
      <c r="G529" s="19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</row>
    <row r="530">
      <c r="A530" s="11"/>
      <c r="B530" s="19"/>
      <c r="C530" s="13"/>
      <c r="D530" s="11"/>
      <c r="E530" s="11"/>
      <c r="F530" s="11"/>
      <c r="G530" s="19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</row>
    <row r="531">
      <c r="A531" s="11"/>
      <c r="B531" s="19"/>
      <c r="C531" s="13"/>
      <c r="D531" s="11"/>
      <c r="E531" s="11"/>
      <c r="F531" s="11"/>
      <c r="G531" s="19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</row>
    <row r="532">
      <c r="A532" s="11"/>
      <c r="B532" s="19"/>
      <c r="C532" s="13"/>
      <c r="D532" s="11"/>
      <c r="E532" s="11"/>
      <c r="F532" s="11"/>
      <c r="G532" s="19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</row>
    <row r="533">
      <c r="A533" s="11"/>
      <c r="B533" s="19"/>
      <c r="C533" s="13"/>
      <c r="D533" s="11"/>
      <c r="E533" s="11"/>
      <c r="F533" s="11"/>
      <c r="G533" s="19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</row>
    <row r="534">
      <c r="A534" s="11"/>
      <c r="B534" s="19"/>
      <c r="C534" s="13"/>
      <c r="D534" s="11"/>
      <c r="E534" s="11"/>
      <c r="F534" s="11"/>
      <c r="G534" s="19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</row>
    <row r="535">
      <c r="A535" s="11"/>
      <c r="B535" s="19"/>
      <c r="C535" s="13"/>
      <c r="D535" s="11"/>
      <c r="E535" s="11"/>
      <c r="F535" s="11"/>
      <c r="G535" s="19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</row>
    <row r="536">
      <c r="A536" s="11"/>
      <c r="B536" s="19"/>
      <c r="C536" s="13"/>
      <c r="D536" s="11"/>
      <c r="E536" s="11"/>
      <c r="F536" s="11"/>
      <c r="G536" s="19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</row>
    <row r="537">
      <c r="A537" s="11"/>
      <c r="B537" s="19"/>
      <c r="C537" s="13"/>
      <c r="D537" s="11"/>
      <c r="E537" s="11"/>
      <c r="F537" s="11"/>
      <c r="G537" s="19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</row>
    <row r="538">
      <c r="A538" s="11"/>
      <c r="B538" s="19"/>
      <c r="C538" s="13"/>
      <c r="D538" s="11"/>
      <c r="E538" s="11"/>
      <c r="F538" s="11"/>
      <c r="G538" s="19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</row>
    <row r="539">
      <c r="A539" s="11"/>
      <c r="B539" s="19"/>
      <c r="C539" s="13"/>
      <c r="D539" s="11"/>
      <c r="E539" s="11"/>
      <c r="F539" s="11"/>
      <c r="G539" s="19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</row>
    <row r="540">
      <c r="A540" s="11"/>
      <c r="B540" s="19"/>
      <c r="C540" s="13"/>
      <c r="D540" s="11"/>
      <c r="E540" s="11"/>
      <c r="F540" s="11"/>
      <c r="G540" s="19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</row>
    <row r="541">
      <c r="A541" s="11"/>
      <c r="B541" s="19"/>
      <c r="C541" s="13"/>
      <c r="D541" s="11"/>
      <c r="E541" s="11"/>
      <c r="F541" s="11"/>
      <c r="G541" s="19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</row>
    <row r="542">
      <c r="A542" s="11"/>
      <c r="B542" s="19"/>
      <c r="C542" s="13"/>
      <c r="D542" s="11"/>
      <c r="E542" s="11"/>
      <c r="F542" s="11"/>
      <c r="G542" s="19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</row>
    <row r="543">
      <c r="A543" s="11"/>
      <c r="B543" s="19"/>
      <c r="C543" s="13"/>
      <c r="D543" s="11"/>
      <c r="E543" s="11"/>
      <c r="F543" s="11"/>
      <c r="G543" s="19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</row>
    <row r="544">
      <c r="A544" s="11"/>
      <c r="B544" s="19"/>
      <c r="C544" s="13"/>
      <c r="D544" s="11"/>
      <c r="E544" s="11"/>
      <c r="F544" s="11"/>
      <c r="G544" s="19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</row>
    <row r="545">
      <c r="A545" s="11"/>
      <c r="B545" s="19"/>
      <c r="C545" s="13"/>
      <c r="D545" s="11"/>
      <c r="E545" s="11"/>
      <c r="F545" s="11"/>
      <c r="G545" s="19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</row>
    <row r="546">
      <c r="A546" s="11"/>
      <c r="B546" s="19"/>
      <c r="C546" s="13"/>
      <c r="D546" s="11"/>
      <c r="E546" s="11"/>
      <c r="F546" s="11"/>
      <c r="G546" s="1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</row>
    <row r="547">
      <c r="A547" s="11"/>
      <c r="B547" s="19"/>
      <c r="C547" s="13"/>
      <c r="D547" s="11"/>
      <c r="E547" s="11"/>
      <c r="F547" s="11"/>
      <c r="G547" s="19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</row>
    <row r="548">
      <c r="A548" s="11"/>
      <c r="B548" s="19"/>
      <c r="C548" s="13"/>
      <c r="D548" s="11"/>
      <c r="E548" s="11"/>
      <c r="F548" s="11"/>
      <c r="G548" s="19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</row>
    <row r="549">
      <c r="A549" s="11"/>
      <c r="B549" s="19"/>
      <c r="C549" s="13"/>
      <c r="D549" s="11"/>
      <c r="E549" s="11"/>
      <c r="F549" s="11"/>
      <c r="G549" s="19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</row>
    <row r="550">
      <c r="A550" s="11"/>
      <c r="B550" s="19"/>
      <c r="C550" s="13"/>
      <c r="D550" s="11"/>
      <c r="E550" s="11"/>
      <c r="F550" s="11"/>
      <c r="G550" s="19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</row>
    <row r="551">
      <c r="A551" s="11"/>
      <c r="B551" s="19"/>
      <c r="C551" s="13"/>
      <c r="D551" s="11"/>
      <c r="E551" s="11"/>
      <c r="F551" s="11"/>
      <c r="G551" s="19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</row>
    <row r="552">
      <c r="A552" s="11"/>
      <c r="B552" s="19"/>
      <c r="C552" s="13"/>
      <c r="D552" s="11"/>
      <c r="E552" s="11"/>
      <c r="F552" s="11"/>
      <c r="G552" s="19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</row>
    <row r="553">
      <c r="A553" s="11"/>
      <c r="B553" s="19"/>
      <c r="C553" s="13"/>
      <c r="D553" s="11"/>
      <c r="E553" s="11"/>
      <c r="F553" s="11"/>
      <c r="G553" s="19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</row>
    <row r="554">
      <c r="A554" s="11"/>
      <c r="B554" s="19"/>
      <c r="C554" s="13"/>
      <c r="D554" s="11"/>
      <c r="E554" s="11"/>
      <c r="F554" s="11"/>
      <c r="G554" s="19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</row>
    <row r="555">
      <c r="A555" s="11"/>
      <c r="B555" s="19"/>
      <c r="C555" s="13"/>
      <c r="D555" s="11"/>
      <c r="E555" s="11"/>
      <c r="F555" s="11"/>
      <c r="G555" s="19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</row>
    <row r="556">
      <c r="A556" s="11"/>
      <c r="B556" s="19"/>
      <c r="C556" s="13"/>
      <c r="D556" s="11"/>
      <c r="E556" s="11"/>
      <c r="F556" s="11"/>
      <c r="G556" s="19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</row>
    <row r="557">
      <c r="A557" s="11"/>
      <c r="B557" s="19"/>
      <c r="C557" s="13"/>
      <c r="D557" s="11"/>
      <c r="E557" s="11"/>
      <c r="F557" s="11"/>
      <c r="G557" s="19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</row>
    <row r="558">
      <c r="A558" s="11"/>
      <c r="B558" s="19"/>
      <c r="C558" s="13"/>
      <c r="D558" s="11"/>
      <c r="E558" s="11"/>
      <c r="F558" s="11"/>
      <c r="G558" s="19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</row>
    <row r="559">
      <c r="A559" s="11"/>
      <c r="B559" s="19"/>
      <c r="C559" s="13"/>
      <c r="D559" s="11"/>
      <c r="E559" s="11"/>
      <c r="F559" s="11"/>
      <c r="G559" s="19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</row>
    <row r="560">
      <c r="A560" s="11"/>
      <c r="B560" s="19"/>
      <c r="C560" s="13"/>
      <c r="D560" s="11"/>
      <c r="E560" s="11"/>
      <c r="F560" s="11"/>
      <c r="G560" s="19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</row>
    <row r="561">
      <c r="A561" s="11"/>
      <c r="B561" s="19"/>
      <c r="C561" s="13"/>
      <c r="D561" s="11"/>
      <c r="E561" s="11"/>
      <c r="F561" s="11"/>
      <c r="G561" s="19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</row>
    <row r="562">
      <c r="A562" s="11"/>
      <c r="B562" s="19"/>
      <c r="C562" s="13"/>
      <c r="D562" s="11"/>
      <c r="E562" s="11"/>
      <c r="F562" s="11"/>
      <c r="G562" s="19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</row>
    <row r="563">
      <c r="A563" s="11"/>
      <c r="B563" s="19"/>
      <c r="C563" s="13"/>
      <c r="D563" s="11"/>
      <c r="E563" s="11"/>
      <c r="F563" s="11"/>
      <c r="G563" s="19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</row>
    <row r="564">
      <c r="A564" s="11"/>
      <c r="B564" s="19"/>
      <c r="C564" s="13"/>
      <c r="D564" s="11"/>
      <c r="E564" s="11"/>
      <c r="F564" s="11"/>
      <c r="G564" s="19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</row>
    <row r="565">
      <c r="A565" s="11"/>
      <c r="B565" s="19"/>
      <c r="C565" s="13"/>
      <c r="D565" s="11"/>
      <c r="E565" s="11"/>
      <c r="F565" s="11"/>
      <c r="G565" s="19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</row>
    <row r="566">
      <c r="A566" s="11"/>
      <c r="B566" s="19"/>
      <c r="C566" s="13"/>
      <c r="D566" s="11"/>
      <c r="E566" s="11"/>
      <c r="F566" s="11"/>
      <c r="G566" s="19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</row>
    <row r="567">
      <c r="A567" s="11"/>
      <c r="B567" s="19"/>
      <c r="C567" s="13"/>
      <c r="D567" s="11"/>
      <c r="E567" s="11"/>
      <c r="F567" s="11"/>
      <c r="G567" s="19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</row>
    <row r="568">
      <c r="A568" s="11"/>
      <c r="B568" s="19"/>
      <c r="C568" s="13"/>
      <c r="D568" s="11"/>
      <c r="E568" s="11"/>
      <c r="F568" s="11"/>
      <c r="G568" s="19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</row>
    <row r="569">
      <c r="A569" s="11"/>
      <c r="B569" s="19"/>
      <c r="C569" s="13"/>
      <c r="D569" s="11"/>
      <c r="E569" s="11"/>
      <c r="F569" s="11"/>
      <c r="G569" s="19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</row>
    <row r="570">
      <c r="A570" s="11"/>
      <c r="B570" s="19"/>
      <c r="C570" s="13"/>
      <c r="D570" s="11"/>
      <c r="E570" s="11"/>
      <c r="F570" s="11"/>
      <c r="G570" s="19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</row>
    <row r="571">
      <c r="A571" s="11"/>
      <c r="B571" s="19"/>
      <c r="C571" s="13"/>
      <c r="D571" s="11"/>
      <c r="E571" s="11"/>
      <c r="F571" s="11"/>
      <c r="G571" s="19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</row>
    <row r="572">
      <c r="A572" s="11"/>
      <c r="B572" s="19"/>
      <c r="C572" s="13"/>
      <c r="D572" s="11"/>
      <c r="E572" s="11"/>
      <c r="F572" s="11"/>
      <c r="G572" s="19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</row>
    <row r="573">
      <c r="A573" s="11"/>
      <c r="B573" s="19"/>
      <c r="C573" s="13"/>
      <c r="D573" s="11"/>
      <c r="E573" s="11"/>
      <c r="F573" s="11"/>
      <c r="G573" s="19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</row>
    <row r="574">
      <c r="A574" s="11"/>
      <c r="B574" s="19"/>
      <c r="C574" s="13"/>
      <c r="D574" s="11"/>
      <c r="E574" s="11"/>
      <c r="F574" s="11"/>
      <c r="G574" s="19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</row>
    <row r="575">
      <c r="A575" s="11"/>
      <c r="B575" s="19"/>
      <c r="C575" s="13"/>
      <c r="D575" s="11"/>
      <c r="E575" s="11"/>
      <c r="F575" s="11"/>
      <c r="G575" s="19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</row>
    <row r="576">
      <c r="A576" s="11"/>
      <c r="B576" s="19"/>
      <c r="C576" s="13"/>
      <c r="D576" s="11"/>
      <c r="E576" s="11"/>
      <c r="F576" s="11"/>
      <c r="G576" s="19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</row>
    <row r="577">
      <c r="A577" s="11"/>
      <c r="B577" s="19"/>
      <c r="C577" s="13"/>
      <c r="D577" s="11"/>
      <c r="E577" s="11"/>
      <c r="F577" s="11"/>
      <c r="G577" s="19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</row>
    <row r="578">
      <c r="A578" s="11"/>
      <c r="B578" s="19"/>
      <c r="C578" s="13"/>
      <c r="D578" s="11"/>
      <c r="E578" s="11"/>
      <c r="F578" s="11"/>
      <c r="G578" s="19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</row>
    <row r="579">
      <c r="A579" s="11"/>
      <c r="B579" s="19"/>
      <c r="C579" s="13"/>
      <c r="D579" s="11"/>
      <c r="E579" s="11"/>
      <c r="F579" s="11"/>
      <c r="G579" s="19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</row>
    <row r="580">
      <c r="A580" s="11"/>
      <c r="B580" s="19"/>
      <c r="C580" s="13"/>
      <c r="D580" s="11"/>
      <c r="E580" s="11"/>
      <c r="F580" s="11"/>
      <c r="G580" s="19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</row>
    <row r="581">
      <c r="A581" s="11"/>
      <c r="B581" s="19"/>
      <c r="C581" s="13"/>
      <c r="D581" s="11"/>
      <c r="E581" s="11"/>
      <c r="F581" s="11"/>
      <c r="G581" s="19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</row>
    <row r="582">
      <c r="A582" s="11"/>
      <c r="B582" s="19"/>
      <c r="C582" s="13"/>
      <c r="D582" s="11"/>
      <c r="E582" s="11"/>
      <c r="F582" s="11"/>
      <c r="G582" s="19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</row>
    <row r="583">
      <c r="A583" s="11"/>
      <c r="B583" s="19"/>
      <c r="C583" s="13"/>
      <c r="D583" s="11"/>
      <c r="E583" s="11"/>
      <c r="F583" s="11"/>
      <c r="G583" s="19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</row>
    <row r="584">
      <c r="A584" s="11"/>
      <c r="B584" s="19"/>
      <c r="C584" s="13"/>
      <c r="D584" s="11"/>
      <c r="E584" s="11"/>
      <c r="F584" s="11"/>
      <c r="G584" s="19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</row>
    <row r="585">
      <c r="A585" s="11"/>
      <c r="B585" s="19"/>
      <c r="C585" s="13"/>
      <c r="D585" s="11"/>
      <c r="E585" s="11"/>
      <c r="F585" s="11"/>
      <c r="G585" s="19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</row>
    <row r="586">
      <c r="A586" s="11"/>
      <c r="B586" s="19"/>
      <c r="C586" s="13"/>
      <c r="D586" s="11"/>
      <c r="E586" s="11"/>
      <c r="F586" s="11"/>
      <c r="G586" s="19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</row>
    <row r="587">
      <c r="A587" s="11"/>
      <c r="B587" s="19"/>
      <c r="C587" s="13"/>
      <c r="D587" s="11"/>
      <c r="E587" s="11"/>
      <c r="F587" s="11"/>
      <c r="G587" s="19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</row>
    <row r="588">
      <c r="A588" s="11"/>
      <c r="B588" s="19"/>
      <c r="C588" s="13"/>
      <c r="D588" s="11"/>
      <c r="E588" s="11"/>
      <c r="F588" s="11"/>
      <c r="G588" s="19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</row>
    <row r="589">
      <c r="A589" s="11"/>
      <c r="B589" s="19"/>
      <c r="C589" s="13"/>
      <c r="D589" s="11"/>
      <c r="E589" s="11"/>
      <c r="F589" s="11"/>
      <c r="G589" s="19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</row>
    <row r="590">
      <c r="A590" s="11"/>
      <c r="B590" s="19"/>
      <c r="C590" s="13"/>
      <c r="D590" s="11"/>
      <c r="E590" s="11"/>
      <c r="F590" s="11"/>
      <c r="G590" s="19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</row>
    <row r="591">
      <c r="A591" s="11"/>
      <c r="B591" s="19"/>
      <c r="C591" s="13"/>
      <c r="D591" s="11"/>
      <c r="E591" s="11"/>
      <c r="F591" s="11"/>
      <c r="G591" s="19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</row>
    <row r="592">
      <c r="A592" s="11"/>
      <c r="B592" s="19"/>
      <c r="C592" s="13"/>
      <c r="D592" s="11"/>
      <c r="E592" s="11"/>
      <c r="F592" s="11"/>
      <c r="G592" s="19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</row>
    <row r="593">
      <c r="A593" s="11"/>
      <c r="B593" s="19"/>
      <c r="C593" s="13"/>
      <c r="D593" s="11"/>
      <c r="E593" s="11"/>
      <c r="F593" s="11"/>
      <c r="G593" s="19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</row>
    <row r="594">
      <c r="A594" s="11"/>
      <c r="B594" s="19"/>
      <c r="C594" s="13"/>
      <c r="D594" s="11"/>
      <c r="E594" s="11"/>
      <c r="F594" s="11"/>
      <c r="G594" s="19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</row>
    <row r="595">
      <c r="A595" s="11"/>
      <c r="B595" s="19"/>
      <c r="C595" s="13"/>
      <c r="D595" s="11"/>
      <c r="E595" s="11"/>
      <c r="F595" s="11"/>
      <c r="G595" s="19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</row>
    <row r="596">
      <c r="A596" s="11"/>
      <c r="B596" s="19"/>
      <c r="C596" s="13"/>
      <c r="D596" s="11"/>
      <c r="E596" s="11"/>
      <c r="F596" s="11"/>
      <c r="G596" s="19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</row>
    <row r="597">
      <c r="A597" s="11"/>
      <c r="B597" s="19"/>
      <c r="C597" s="13"/>
      <c r="D597" s="11"/>
      <c r="E597" s="11"/>
      <c r="F597" s="11"/>
      <c r="G597" s="19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</row>
    <row r="598">
      <c r="A598" s="11"/>
      <c r="B598" s="19"/>
      <c r="C598" s="13"/>
      <c r="D598" s="11"/>
      <c r="E598" s="11"/>
      <c r="F598" s="11"/>
      <c r="G598" s="19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</row>
    <row r="599">
      <c r="A599" s="11"/>
      <c r="B599" s="19"/>
      <c r="C599" s="13"/>
      <c r="D599" s="11"/>
      <c r="E599" s="11"/>
      <c r="F599" s="11"/>
      <c r="G599" s="19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</row>
    <row r="600">
      <c r="A600" s="11"/>
      <c r="B600" s="19"/>
      <c r="C600" s="13"/>
      <c r="D600" s="11"/>
      <c r="E600" s="11"/>
      <c r="F600" s="11"/>
      <c r="G600" s="1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</row>
    <row r="601">
      <c r="A601" s="11"/>
      <c r="B601" s="19"/>
      <c r="C601" s="13"/>
      <c r="D601" s="11"/>
      <c r="E601" s="11"/>
      <c r="F601" s="11"/>
      <c r="G601" s="1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</row>
    <row r="602">
      <c r="A602" s="11"/>
      <c r="B602" s="19"/>
      <c r="C602" s="13"/>
      <c r="D602" s="11"/>
      <c r="E602" s="11"/>
      <c r="F602" s="11"/>
      <c r="G602" s="19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</row>
    <row r="603">
      <c r="A603" s="11"/>
      <c r="B603" s="19"/>
      <c r="C603" s="13"/>
      <c r="D603" s="11"/>
      <c r="E603" s="11"/>
      <c r="F603" s="11"/>
      <c r="G603" s="19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</row>
    <row r="604">
      <c r="A604" s="11"/>
      <c r="B604" s="19"/>
      <c r="C604" s="13"/>
      <c r="D604" s="11"/>
      <c r="E604" s="11"/>
      <c r="F604" s="11"/>
      <c r="G604" s="19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</row>
    <row r="605">
      <c r="A605" s="11"/>
      <c r="B605" s="19"/>
      <c r="C605" s="13"/>
      <c r="D605" s="11"/>
      <c r="E605" s="11"/>
      <c r="F605" s="11"/>
      <c r="G605" s="19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</row>
    <row r="606">
      <c r="A606" s="11"/>
      <c r="B606" s="19"/>
      <c r="C606" s="13"/>
      <c r="D606" s="11"/>
      <c r="E606" s="11"/>
      <c r="F606" s="11"/>
      <c r="G606" s="19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</row>
    <row r="607">
      <c r="A607" s="11"/>
      <c r="B607" s="19"/>
      <c r="C607" s="13"/>
      <c r="D607" s="11"/>
      <c r="E607" s="11"/>
      <c r="F607" s="11"/>
      <c r="G607" s="19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</row>
    <row r="608">
      <c r="A608" s="11"/>
      <c r="B608" s="19"/>
      <c r="C608" s="13"/>
      <c r="D608" s="11"/>
      <c r="E608" s="11"/>
      <c r="F608" s="11"/>
      <c r="G608" s="19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</row>
    <row r="609">
      <c r="A609" s="11"/>
      <c r="B609" s="19"/>
      <c r="C609" s="13"/>
      <c r="D609" s="11"/>
      <c r="E609" s="11"/>
      <c r="F609" s="11"/>
      <c r="G609" s="19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</row>
    <row r="610">
      <c r="A610" s="11"/>
      <c r="B610" s="19"/>
      <c r="C610" s="13"/>
      <c r="D610" s="11"/>
      <c r="E610" s="11"/>
      <c r="F610" s="11"/>
      <c r="G610" s="19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</row>
    <row r="611">
      <c r="A611" s="11"/>
      <c r="B611" s="19"/>
      <c r="C611" s="13"/>
      <c r="D611" s="11"/>
      <c r="E611" s="11"/>
      <c r="F611" s="11"/>
      <c r="G611" s="19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</row>
    <row r="612">
      <c r="A612" s="11"/>
      <c r="B612" s="19"/>
      <c r="C612" s="13"/>
      <c r="D612" s="11"/>
      <c r="E612" s="11"/>
      <c r="F612" s="11"/>
      <c r="G612" s="19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</row>
    <row r="613">
      <c r="A613" s="11"/>
      <c r="B613" s="19"/>
      <c r="C613" s="13"/>
      <c r="D613" s="11"/>
      <c r="E613" s="11"/>
      <c r="F613" s="11"/>
      <c r="G613" s="19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</row>
    <row r="614">
      <c r="A614" s="11"/>
      <c r="B614" s="19"/>
      <c r="C614" s="13"/>
      <c r="D614" s="11"/>
      <c r="E614" s="11"/>
      <c r="F614" s="11"/>
      <c r="G614" s="19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</row>
    <row r="615">
      <c r="A615" s="11"/>
      <c r="B615" s="19"/>
      <c r="C615" s="13"/>
      <c r="D615" s="11"/>
      <c r="E615" s="11"/>
      <c r="F615" s="11"/>
      <c r="G615" s="19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</row>
    <row r="616">
      <c r="A616" s="11"/>
      <c r="B616" s="19"/>
      <c r="C616" s="13"/>
      <c r="D616" s="11"/>
      <c r="E616" s="11"/>
      <c r="F616" s="11"/>
      <c r="G616" s="19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</row>
    <row r="617">
      <c r="A617" s="11"/>
      <c r="B617" s="19"/>
      <c r="C617" s="13"/>
      <c r="D617" s="11"/>
      <c r="E617" s="11"/>
      <c r="F617" s="11"/>
      <c r="G617" s="19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</row>
    <row r="618">
      <c r="A618" s="11"/>
      <c r="B618" s="19"/>
      <c r="C618" s="13"/>
      <c r="D618" s="11"/>
      <c r="E618" s="11"/>
      <c r="F618" s="11"/>
      <c r="G618" s="19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</row>
    <row r="619">
      <c r="A619" s="11"/>
      <c r="B619" s="19"/>
      <c r="C619" s="13"/>
      <c r="D619" s="11"/>
      <c r="E619" s="11"/>
      <c r="F619" s="11"/>
      <c r="G619" s="19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</row>
    <row r="620">
      <c r="A620" s="11"/>
      <c r="B620" s="19"/>
      <c r="C620" s="13"/>
      <c r="D620" s="11"/>
      <c r="E620" s="11"/>
      <c r="F620" s="11"/>
      <c r="G620" s="19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</row>
    <row r="621">
      <c r="A621" s="11"/>
      <c r="B621" s="19"/>
      <c r="C621" s="13"/>
      <c r="D621" s="11"/>
      <c r="E621" s="11"/>
      <c r="F621" s="11"/>
      <c r="G621" s="19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</row>
    <row r="622">
      <c r="A622" s="11"/>
      <c r="B622" s="19"/>
      <c r="C622" s="13"/>
      <c r="D622" s="11"/>
      <c r="E622" s="11"/>
      <c r="F622" s="11"/>
      <c r="G622" s="19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</row>
    <row r="623">
      <c r="A623" s="11"/>
      <c r="B623" s="19"/>
      <c r="C623" s="13"/>
      <c r="D623" s="11"/>
      <c r="E623" s="11"/>
      <c r="F623" s="11"/>
      <c r="G623" s="19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</row>
    <row r="624">
      <c r="A624" s="11"/>
      <c r="B624" s="19"/>
      <c r="C624" s="13"/>
      <c r="D624" s="11"/>
      <c r="E624" s="11"/>
      <c r="F624" s="11"/>
      <c r="G624" s="19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</row>
    <row r="625">
      <c r="A625" s="11"/>
      <c r="B625" s="19"/>
      <c r="C625" s="13"/>
      <c r="D625" s="11"/>
      <c r="E625" s="11"/>
      <c r="F625" s="11"/>
      <c r="G625" s="19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</row>
    <row r="626">
      <c r="A626" s="11"/>
      <c r="B626" s="19"/>
      <c r="C626" s="13"/>
      <c r="D626" s="11"/>
      <c r="E626" s="11"/>
      <c r="F626" s="11"/>
      <c r="G626" s="19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</row>
    <row r="627">
      <c r="A627" s="11"/>
      <c r="B627" s="19"/>
      <c r="C627" s="13"/>
      <c r="D627" s="11"/>
      <c r="E627" s="11"/>
      <c r="F627" s="11"/>
      <c r="G627" s="19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</row>
    <row r="628">
      <c r="A628" s="11"/>
      <c r="B628" s="19"/>
      <c r="C628" s="13"/>
      <c r="D628" s="11"/>
      <c r="E628" s="11"/>
      <c r="F628" s="11"/>
      <c r="G628" s="19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</row>
    <row r="629">
      <c r="A629" s="11"/>
      <c r="B629" s="19"/>
      <c r="C629" s="13"/>
      <c r="D629" s="11"/>
      <c r="E629" s="11"/>
      <c r="F629" s="11"/>
      <c r="G629" s="19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</row>
    <row r="630">
      <c r="A630" s="11"/>
      <c r="B630" s="19"/>
      <c r="C630" s="13"/>
      <c r="D630" s="11"/>
      <c r="E630" s="11"/>
      <c r="F630" s="11"/>
      <c r="G630" s="19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</row>
    <row r="631">
      <c r="A631" s="11"/>
      <c r="B631" s="19"/>
      <c r="C631" s="13"/>
      <c r="D631" s="11"/>
      <c r="E631" s="11"/>
      <c r="F631" s="11"/>
      <c r="G631" s="19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</row>
    <row r="632">
      <c r="A632" s="11"/>
      <c r="B632" s="19"/>
      <c r="C632" s="13"/>
      <c r="D632" s="11"/>
      <c r="E632" s="11"/>
      <c r="F632" s="11"/>
      <c r="G632" s="19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</row>
    <row r="633">
      <c r="A633" s="11"/>
      <c r="B633" s="19"/>
      <c r="C633" s="13"/>
      <c r="D633" s="11"/>
      <c r="E633" s="11"/>
      <c r="F633" s="11"/>
      <c r="G633" s="19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</row>
    <row r="634">
      <c r="A634" s="11"/>
      <c r="B634" s="19"/>
      <c r="C634" s="13"/>
      <c r="D634" s="11"/>
      <c r="E634" s="11"/>
      <c r="F634" s="11"/>
      <c r="G634" s="19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</row>
    <row r="635">
      <c r="A635" s="11"/>
      <c r="B635" s="19"/>
      <c r="C635" s="13"/>
      <c r="D635" s="11"/>
      <c r="E635" s="11"/>
      <c r="F635" s="11"/>
      <c r="G635" s="19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</row>
    <row r="636">
      <c r="A636" s="11"/>
      <c r="B636" s="19"/>
      <c r="C636" s="13"/>
      <c r="D636" s="11"/>
      <c r="E636" s="11"/>
      <c r="F636" s="11"/>
      <c r="G636" s="19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</row>
    <row r="637">
      <c r="A637" s="11"/>
      <c r="B637" s="19"/>
      <c r="C637" s="13"/>
      <c r="D637" s="11"/>
      <c r="E637" s="11"/>
      <c r="F637" s="11"/>
      <c r="G637" s="19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</row>
    <row r="638">
      <c r="A638" s="11"/>
      <c r="B638" s="19"/>
      <c r="C638" s="13"/>
      <c r="D638" s="11"/>
      <c r="E638" s="11"/>
      <c r="F638" s="11"/>
      <c r="G638" s="19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</row>
    <row r="639">
      <c r="A639" s="11"/>
      <c r="B639" s="19"/>
      <c r="C639" s="13"/>
      <c r="D639" s="11"/>
      <c r="E639" s="11"/>
      <c r="F639" s="11"/>
      <c r="G639" s="19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</row>
    <row r="640">
      <c r="A640" s="11"/>
      <c r="B640" s="19"/>
      <c r="C640" s="13"/>
      <c r="D640" s="11"/>
      <c r="E640" s="11"/>
      <c r="F640" s="11"/>
      <c r="G640" s="19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</row>
    <row r="641">
      <c r="A641" s="11"/>
      <c r="B641" s="19"/>
      <c r="C641" s="13"/>
      <c r="D641" s="11"/>
      <c r="E641" s="11"/>
      <c r="F641" s="11"/>
      <c r="G641" s="19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</row>
    <row r="642">
      <c r="A642" s="11"/>
      <c r="B642" s="19"/>
      <c r="C642" s="13"/>
      <c r="D642" s="11"/>
      <c r="E642" s="11"/>
      <c r="F642" s="11"/>
      <c r="G642" s="19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</row>
    <row r="643">
      <c r="A643" s="11"/>
      <c r="B643" s="19"/>
      <c r="C643" s="13"/>
      <c r="D643" s="11"/>
      <c r="E643" s="11"/>
      <c r="F643" s="11"/>
      <c r="G643" s="19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</row>
    <row r="644">
      <c r="A644" s="11"/>
      <c r="B644" s="19"/>
      <c r="C644" s="13"/>
      <c r="D644" s="11"/>
      <c r="E644" s="11"/>
      <c r="F644" s="11"/>
      <c r="G644" s="19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</row>
    <row r="645">
      <c r="A645" s="11"/>
      <c r="B645" s="19"/>
      <c r="C645" s="13"/>
      <c r="D645" s="11"/>
      <c r="E645" s="11"/>
      <c r="F645" s="11"/>
      <c r="G645" s="19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</row>
    <row r="646">
      <c r="A646" s="11"/>
      <c r="B646" s="19"/>
      <c r="C646" s="13"/>
      <c r="D646" s="11"/>
      <c r="E646" s="11"/>
      <c r="F646" s="11"/>
      <c r="G646" s="19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</row>
    <row r="647">
      <c r="A647" s="11"/>
      <c r="B647" s="19"/>
      <c r="C647" s="13"/>
      <c r="D647" s="11"/>
      <c r="E647" s="11"/>
      <c r="F647" s="11"/>
      <c r="G647" s="19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</row>
    <row r="648">
      <c r="A648" s="11"/>
      <c r="B648" s="19"/>
      <c r="C648" s="13"/>
      <c r="D648" s="11"/>
      <c r="E648" s="11"/>
      <c r="F648" s="11"/>
      <c r="G648" s="19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</row>
    <row r="649">
      <c r="A649" s="11"/>
      <c r="B649" s="19"/>
      <c r="C649" s="13"/>
      <c r="D649" s="11"/>
      <c r="E649" s="11"/>
      <c r="F649" s="11"/>
      <c r="G649" s="19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</row>
    <row r="650">
      <c r="A650" s="11"/>
      <c r="B650" s="19"/>
      <c r="C650" s="13"/>
      <c r="D650" s="11"/>
      <c r="E650" s="11"/>
      <c r="F650" s="11"/>
      <c r="G650" s="19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</row>
    <row r="651">
      <c r="A651" s="11"/>
      <c r="B651" s="19"/>
      <c r="C651" s="13"/>
      <c r="D651" s="11"/>
      <c r="E651" s="11"/>
      <c r="F651" s="11"/>
      <c r="G651" s="19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</row>
    <row r="652">
      <c r="A652" s="11"/>
      <c r="B652" s="19"/>
      <c r="C652" s="13"/>
      <c r="D652" s="11"/>
      <c r="E652" s="11"/>
      <c r="F652" s="11"/>
      <c r="G652" s="19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</row>
    <row r="653">
      <c r="A653" s="11"/>
      <c r="B653" s="19"/>
      <c r="C653" s="13"/>
      <c r="D653" s="11"/>
      <c r="E653" s="11"/>
      <c r="F653" s="11"/>
      <c r="G653" s="19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</row>
    <row r="654">
      <c r="A654" s="11"/>
      <c r="B654" s="19"/>
      <c r="C654" s="13"/>
      <c r="D654" s="11"/>
      <c r="E654" s="11"/>
      <c r="F654" s="11"/>
      <c r="G654" s="19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</row>
    <row r="655">
      <c r="A655" s="11"/>
      <c r="B655" s="19"/>
      <c r="C655" s="13"/>
      <c r="D655" s="11"/>
      <c r="E655" s="11"/>
      <c r="F655" s="11"/>
      <c r="G655" s="19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</row>
    <row r="656">
      <c r="A656" s="11"/>
      <c r="B656" s="19"/>
      <c r="C656" s="13"/>
      <c r="D656" s="11"/>
      <c r="E656" s="11"/>
      <c r="F656" s="11"/>
      <c r="G656" s="19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</row>
    <row r="657">
      <c r="A657" s="11"/>
      <c r="B657" s="19"/>
      <c r="C657" s="13"/>
      <c r="D657" s="11"/>
      <c r="E657" s="11"/>
      <c r="F657" s="11"/>
      <c r="G657" s="19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</row>
    <row r="658">
      <c r="A658" s="11"/>
      <c r="B658" s="19"/>
      <c r="C658" s="13"/>
      <c r="D658" s="11"/>
      <c r="E658" s="11"/>
      <c r="F658" s="11"/>
      <c r="G658" s="19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</row>
    <row r="659">
      <c r="A659" s="11"/>
      <c r="B659" s="19"/>
      <c r="C659" s="13"/>
      <c r="D659" s="11"/>
      <c r="E659" s="11"/>
      <c r="F659" s="11"/>
      <c r="G659" s="19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</row>
    <row r="660">
      <c r="A660" s="11"/>
      <c r="B660" s="19"/>
      <c r="C660" s="13"/>
      <c r="D660" s="11"/>
      <c r="E660" s="11"/>
      <c r="F660" s="11"/>
      <c r="G660" s="19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</row>
    <row r="661">
      <c r="A661" s="11"/>
      <c r="B661" s="19"/>
      <c r="C661" s="13"/>
      <c r="D661" s="11"/>
      <c r="E661" s="11"/>
      <c r="F661" s="11"/>
      <c r="G661" s="19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</row>
    <row r="662">
      <c r="A662" s="11"/>
      <c r="B662" s="19"/>
      <c r="C662" s="13"/>
      <c r="D662" s="11"/>
      <c r="E662" s="11"/>
      <c r="F662" s="11"/>
      <c r="G662" s="19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</row>
    <row r="663">
      <c r="A663" s="11"/>
      <c r="B663" s="19"/>
      <c r="C663" s="13"/>
      <c r="D663" s="11"/>
      <c r="E663" s="11"/>
      <c r="F663" s="11"/>
      <c r="G663" s="19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</row>
    <row r="664">
      <c r="A664" s="11"/>
      <c r="B664" s="19"/>
      <c r="C664" s="13"/>
      <c r="D664" s="11"/>
      <c r="E664" s="11"/>
      <c r="F664" s="11"/>
      <c r="G664" s="19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</row>
    <row r="665">
      <c r="A665" s="11"/>
      <c r="B665" s="19"/>
      <c r="C665" s="13"/>
      <c r="D665" s="11"/>
      <c r="E665" s="11"/>
      <c r="F665" s="11"/>
      <c r="G665" s="19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</row>
    <row r="666">
      <c r="A666" s="11"/>
      <c r="B666" s="19"/>
      <c r="C666" s="13"/>
      <c r="D666" s="11"/>
      <c r="E666" s="11"/>
      <c r="F666" s="11"/>
      <c r="G666" s="19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</row>
    <row r="667">
      <c r="A667" s="11"/>
      <c r="B667" s="19"/>
      <c r="C667" s="13"/>
      <c r="D667" s="11"/>
      <c r="E667" s="11"/>
      <c r="F667" s="11"/>
      <c r="G667" s="1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</row>
    <row r="668">
      <c r="A668" s="11"/>
      <c r="B668" s="19"/>
      <c r="C668" s="13"/>
      <c r="D668" s="11"/>
      <c r="E668" s="11"/>
      <c r="F668" s="11"/>
      <c r="G668" s="19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</row>
    <row r="669">
      <c r="A669" s="11"/>
      <c r="B669" s="19"/>
      <c r="C669" s="13"/>
      <c r="D669" s="11"/>
      <c r="E669" s="11"/>
      <c r="F669" s="11"/>
      <c r="G669" s="19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</row>
    <row r="670">
      <c r="A670" s="11"/>
      <c r="B670" s="19"/>
      <c r="C670" s="13"/>
      <c r="D670" s="11"/>
      <c r="E670" s="11"/>
      <c r="F670" s="11"/>
      <c r="G670" s="19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</row>
    <row r="671">
      <c r="A671" s="11"/>
      <c r="B671" s="19"/>
      <c r="C671" s="13"/>
      <c r="D671" s="11"/>
      <c r="E671" s="11"/>
      <c r="F671" s="11"/>
      <c r="G671" s="19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</row>
    <row r="672">
      <c r="A672" s="11"/>
      <c r="B672" s="19"/>
      <c r="C672" s="13"/>
      <c r="D672" s="11"/>
      <c r="E672" s="11"/>
      <c r="F672" s="11"/>
      <c r="G672" s="19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</row>
    <row r="673">
      <c r="A673" s="11"/>
      <c r="B673" s="19"/>
      <c r="C673" s="13"/>
      <c r="D673" s="11"/>
      <c r="E673" s="11"/>
      <c r="F673" s="11"/>
      <c r="G673" s="19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</row>
    <row r="674">
      <c r="A674" s="11"/>
      <c r="B674" s="19"/>
      <c r="C674" s="13"/>
      <c r="D674" s="11"/>
      <c r="E674" s="11"/>
      <c r="F674" s="11"/>
      <c r="G674" s="19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</row>
    <row r="675">
      <c r="A675" s="11"/>
      <c r="B675" s="19"/>
      <c r="C675" s="13"/>
      <c r="D675" s="11"/>
      <c r="E675" s="11"/>
      <c r="F675" s="11"/>
      <c r="G675" s="19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</row>
    <row r="676">
      <c r="A676" s="11"/>
      <c r="B676" s="19"/>
      <c r="C676" s="13"/>
      <c r="D676" s="11"/>
      <c r="E676" s="11"/>
      <c r="F676" s="11"/>
      <c r="G676" s="19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</row>
    <row r="677">
      <c r="A677" s="11"/>
      <c r="B677" s="19"/>
      <c r="C677" s="13"/>
      <c r="D677" s="11"/>
      <c r="E677" s="11"/>
      <c r="F677" s="11"/>
      <c r="G677" s="19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</row>
    <row r="678">
      <c r="A678" s="11"/>
      <c r="B678" s="19"/>
      <c r="C678" s="13"/>
      <c r="D678" s="11"/>
      <c r="E678" s="11"/>
      <c r="F678" s="11"/>
      <c r="G678" s="19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</row>
    <row r="679">
      <c r="A679" s="11"/>
      <c r="B679" s="19"/>
      <c r="C679" s="13"/>
      <c r="D679" s="11"/>
      <c r="E679" s="11"/>
      <c r="F679" s="11"/>
      <c r="G679" s="19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</row>
    <row r="680">
      <c r="A680" s="11"/>
      <c r="B680" s="19"/>
      <c r="C680" s="13"/>
      <c r="D680" s="11"/>
      <c r="E680" s="11"/>
      <c r="F680" s="11"/>
      <c r="G680" s="19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</row>
    <row r="681">
      <c r="A681" s="11"/>
      <c r="B681" s="19"/>
      <c r="C681" s="13"/>
      <c r="D681" s="11"/>
      <c r="E681" s="11"/>
      <c r="F681" s="11"/>
      <c r="G681" s="19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</row>
    <row r="682">
      <c r="A682" s="11"/>
      <c r="B682" s="19"/>
      <c r="C682" s="13"/>
      <c r="D682" s="11"/>
      <c r="E682" s="11"/>
      <c r="F682" s="11"/>
      <c r="G682" s="19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</row>
    <row r="683">
      <c r="A683" s="11"/>
      <c r="B683" s="19"/>
      <c r="C683" s="13"/>
      <c r="D683" s="11"/>
      <c r="E683" s="11"/>
      <c r="F683" s="11"/>
      <c r="G683" s="19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</row>
    <row r="684">
      <c r="A684" s="11"/>
      <c r="B684" s="19"/>
      <c r="C684" s="13"/>
      <c r="D684" s="11"/>
      <c r="E684" s="11"/>
      <c r="F684" s="11"/>
      <c r="G684" s="19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</row>
    <row r="685">
      <c r="A685" s="11"/>
      <c r="B685" s="19"/>
      <c r="C685" s="13"/>
      <c r="D685" s="11"/>
      <c r="E685" s="11"/>
      <c r="F685" s="11"/>
      <c r="G685" s="19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</row>
    <row r="686">
      <c r="A686" s="11"/>
      <c r="B686" s="19"/>
      <c r="C686" s="13"/>
      <c r="D686" s="11"/>
      <c r="E686" s="11"/>
      <c r="F686" s="11"/>
      <c r="G686" s="19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</row>
    <row r="687">
      <c r="A687" s="11"/>
      <c r="B687" s="19"/>
      <c r="C687" s="13"/>
      <c r="D687" s="11"/>
      <c r="E687" s="11"/>
      <c r="F687" s="11"/>
      <c r="G687" s="19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</row>
    <row r="688">
      <c r="A688" s="11"/>
      <c r="B688" s="19"/>
      <c r="C688" s="13"/>
      <c r="D688" s="11"/>
      <c r="E688" s="11"/>
      <c r="F688" s="11"/>
      <c r="G688" s="1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</row>
    <row r="689">
      <c r="A689" s="11"/>
      <c r="B689" s="19"/>
      <c r="C689" s="13"/>
      <c r="D689" s="11"/>
      <c r="E689" s="11"/>
      <c r="F689" s="11"/>
      <c r="G689" s="19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</row>
    <row r="690">
      <c r="A690" s="11"/>
      <c r="B690" s="19"/>
      <c r="C690" s="13"/>
      <c r="D690" s="11"/>
      <c r="E690" s="11"/>
      <c r="F690" s="11"/>
      <c r="G690" s="19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</row>
    <row r="691">
      <c r="A691" s="11"/>
      <c r="B691" s="19"/>
      <c r="C691" s="13"/>
      <c r="D691" s="11"/>
      <c r="E691" s="11"/>
      <c r="F691" s="11"/>
      <c r="G691" s="19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</row>
    <row r="692">
      <c r="A692" s="11"/>
      <c r="B692" s="19"/>
      <c r="C692" s="13"/>
      <c r="D692" s="11"/>
      <c r="E692" s="11"/>
      <c r="F692" s="11"/>
      <c r="G692" s="19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</row>
    <row r="693">
      <c r="A693" s="11"/>
      <c r="B693" s="19"/>
      <c r="C693" s="13"/>
      <c r="D693" s="11"/>
      <c r="E693" s="11"/>
      <c r="F693" s="11"/>
      <c r="G693" s="19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</row>
    <row r="694">
      <c r="A694" s="11"/>
      <c r="B694" s="19"/>
      <c r="C694" s="13"/>
      <c r="D694" s="11"/>
      <c r="E694" s="11"/>
      <c r="F694" s="11"/>
      <c r="G694" s="19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</row>
    <row r="695">
      <c r="A695" s="11"/>
      <c r="B695" s="19"/>
      <c r="C695" s="13"/>
      <c r="D695" s="11"/>
      <c r="E695" s="11"/>
      <c r="F695" s="11"/>
      <c r="G695" s="19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>
      <c r="A696" s="11"/>
      <c r="B696" s="19"/>
      <c r="C696" s="13"/>
      <c r="D696" s="11"/>
      <c r="E696" s="11"/>
      <c r="F696" s="11"/>
      <c r="G696" s="19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</row>
    <row r="697">
      <c r="A697" s="11"/>
      <c r="B697" s="19"/>
      <c r="C697" s="13"/>
      <c r="D697" s="11"/>
      <c r="E697" s="11"/>
      <c r="F697" s="11"/>
      <c r="G697" s="19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</row>
    <row r="698">
      <c r="A698" s="11"/>
      <c r="B698" s="19"/>
      <c r="C698" s="13"/>
      <c r="D698" s="11"/>
      <c r="E698" s="11"/>
      <c r="F698" s="11"/>
      <c r="G698" s="19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</row>
    <row r="699">
      <c r="A699" s="11"/>
      <c r="B699" s="19"/>
      <c r="C699" s="13"/>
      <c r="D699" s="11"/>
      <c r="E699" s="11"/>
      <c r="F699" s="11"/>
      <c r="G699" s="1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</row>
    <row r="700">
      <c r="A700" s="11"/>
      <c r="B700" s="19"/>
      <c r="C700" s="13"/>
      <c r="D700" s="11"/>
      <c r="E700" s="11"/>
      <c r="F700" s="11"/>
      <c r="G700" s="19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</row>
    <row r="701">
      <c r="A701" s="11"/>
      <c r="B701" s="19"/>
      <c r="C701" s="13"/>
      <c r="D701" s="11"/>
      <c r="E701" s="11"/>
      <c r="F701" s="11"/>
      <c r="G701" s="19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</row>
    <row r="702">
      <c r="A702" s="11"/>
      <c r="B702" s="19"/>
      <c r="C702" s="13"/>
      <c r="D702" s="11"/>
      <c r="E702" s="11"/>
      <c r="F702" s="11"/>
      <c r="G702" s="19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</row>
    <row r="703">
      <c r="A703" s="11"/>
      <c r="B703" s="19"/>
      <c r="C703" s="13"/>
      <c r="D703" s="11"/>
      <c r="E703" s="11"/>
      <c r="F703" s="11"/>
      <c r="G703" s="19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</row>
    <row r="704">
      <c r="A704" s="11"/>
      <c r="B704" s="19"/>
      <c r="C704" s="13"/>
      <c r="D704" s="11"/>
      <c r="E704" s="11"/>
      <c r="F704" s="11"/>
      <c r="G704" s="19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</row>
    <row r="705">
      <c r="A705" s="11"/>
      <c r="B705" s="19"/>
      <c r="C705" s="13"/>
      <c r="D705" s="11"/>
      <c r="E705" s="11"/>
      <c r="F705" s="11"/>
      <c r="G705" s="19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</row>
    <row r="706">
      <c r="A706" s="11"/>
      <c r="B706" s="19"/>
      <c r="C706" s="13"/>
      <c r="D706" s="11"/>
      <c r="E706" s="11"/>
      <c r="F706" s="11"/>
      <c r="G706" s="19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</row>
    <row r="707">
      <c r="A707" s="11"/>
      <c r="B707" s="19"/>
      <c r="C707" s="13"/>
      <c r="D707" s="11"/>
      <c r="E707" s="11"/>
      <c r="F707" s="11"/>
      <c r="G707" s="1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</row>
    <row r="708">
      <c r="A708" s="11"/>
      <c r="B708" s="19"/>
      <c r="C708" s="13"/>
      <c r="D708" s="11"/>
      <c r="E708" s="11"/>
      <c r="F708" s="11"/>
      <c r="G708" s="19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</row>
    <row r="709">
      <c r="A709" s="11"/>
      <c r="B709" s="19"/>
      <c r="C709" s="13"/>
      <c r="D709" s="11"/>
      <c r="E709" s="11"/>
      <c r="F709" s="11"/>
      <c r="G709" s="19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</row>
    <row r="710">
      <c r="A710" s="11"/>
      <c r="B710" s="19"/>
      <c r="C710" s="13"/>
      <c r="D710" s="11"/>
      <c r="E710" s="11"/>
      <c r="F710" s="11"/>
      <c r="G710" s="19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</row>
    <row r="711">
      <c r="A711" s="11"/>
      <c r="B711" s="19"/>
      <c r="C711" s="13"/>
      <c r="D711" s="11"/>
      <c r="E711" s="11"/>
      <c r="F711" s="11"/>
      <c r="G711" s="19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</row>
    <row r="712">
      <c r="A712" s="11"/>
      <c r="B712" s="19"/>
      <c r="C712" s="13"/>
      <c r="D712" s="11"/>
      <c r="E712" s="11"/>
      <c r="F712" s="11"/>
      <c r="G712" s="19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</row>
    <row r="713">
      <c r="A713" s="11"/>
      <c r="B713" s="19"/>
      <c r="C713" s="13"/>
      <c r="D713" s="11"/>
      <c r="E713" s="11"/>
      <c r="F713" s="11"/>
      <c r="G713" s="19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</row>
    <row r="714">
      <c r="A714" s="11"/>
      <c r="B714" s="19"/>
      <c r="C714" s="13"/>
      <c r="D714" s="11"/>
      <c r="E714" s="11"/>
      <c r="F714" s="11"/>
      <c r="G714" s="19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</row>
    <row r="715">
      <c r="A715" s="11"/>
      <c r="B715" s="19"/>
      <c r="C715" s="13"/>
      <c r="D715" s="11"/>
      <c r="E715" s="11"/>
      <c r="F715" s="11"/>
      <c r="G715" s="19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</row>
    <row r="716">
      <c r="A716" s="11"/>
      <c r="B716" s="19"/>
      <c r="C716" s="13"/>
      <c r="D716" s="11"/>
      <c r="E716" s="11"/>
      <c r="F716" s="11"/>
      <c r="G716" s="19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</row>
    <row r="717">
      <c r="A717" s="11"/>
      <c r="B717" s="19"/>
      <c r="C717" s="13"/>
      <c r="D717" s="11"/>
      <c r="E717" s="11"/>
      <c r="F717" s="11"/>
      <c r="G717" s="19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</row>
    <row r="718">
      <c r="A718" s="11"/>
      <c r="B718" s="19"/>
      <c r="C718" s="13"/>
      <c r="D718" s="11"/>
      <c r="E718" s="11"/>
      <c r="F718" s="11"/>
      <c r="G718" s="19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</row>
    <row r="719">
      <c r="A719" s="11"/>
      <c r="B719" s="19"/>
      <c r="C719" s="13"/>
      <c r="D719" s="11"/>
      <c r="E719" s="11"/>
      <c r="F719" s="11"/>
      <c r="G719" s="19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</row>
    <row r="720">
      <c r="A720" s="11"/>
      <c r="B720" s="19"/>
      <c r="C720" s="13"/>
      <c r="D720" s="11"/>
      <c r="E720" s="11"/>
      <c r="F720" s="11"/>
      <c r="G720" s="19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</row>
    <row r="721">
      <c r="A721" s="11"/>
      <c r="B721" s="19"/>
      <c r="C721" s="13"/>
      <c r="D721" s="11"/>
      <c r="E721" s="11"/>
      <c r="F721" s="11"/>
      <c r="G721" s="19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</row>
    <row r="722">
      <c r="A722" s="11"/>
      <c r="B722" s="19"/>
      <c r="C722" s="13"/>
      <c r="D722" s="11"/>
      <c r="E722" s="11"/>
      <c r="F722" s="11"/>
      <c r="G722" s="19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</row>
    <row r="723">
      <c r="A723" s="11"/>
      <c r="B723" s="19"/>
      <c r="C723" s="13"/>
      <c r="D723" s="11"/>
      <c r="E723" s="11"/>
      <c r="F723" s="11"/>
      <c r="G723" s="19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</row>
    <row r="724">
      <c r="A724" s="11"/>
      <c r="B724" s="19"/>
      <c r="C724" s="13"/>
      <c r="D724" s="11"/>
      <c r="E724" s="11"/>
      <c r="F724" s="11"/>
      <c r="G724" s="19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</row>
    <row r="725">
      <c r="A725" s="11"/>
      <c r="B725" s="19"/>
      <c r="C725" s="13"/>
      <c r="D725" s="11"/>
      <c r="E725" s="11"/>
      <c r="F725" s="11"/>
      <c r="G725" s="19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</row>
    <row r="726">
      <c r="A726" s="11"/>
      <c r="B726" s="19"/>
      <c r="C726" s="13"/>
      <c r="D726" s="11"/>
      <c r="E726" s="11"/>
      <c r="F726" s="11"/>
      <c r="G726" s="19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</row>
    <row r="727">
      <c r="A727" s="11"/>
      <c r="B727" s="19"/>
      <c r="C727" s="13"/>
      <c r="D727" s="11"/>
      <c r="E727" s="11"/>
      <c r="F727" s="11"/>
      <c r="G727" s="19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</row>
    <row r="728">
      <c r="A728" s="11"/>
      <c r="B728" s="19"/>
      <c r="C728" s="13"/>
      <c r="D728" s="11"/>
      <c r="E728" s="11"/>
      <c r="F728" s="11"/>
      <c r="G728" s="19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</row>
    <row r="729">
      <c r="A729" s="11"/>
      <c r="B729" s="19"/>
      <c r="C729" s="13"/>
      <c r="D729" s="11"/>
      <c r="E729" s="11"/>
      <c r="F729" s="11"/>
      <c r="G729" s="19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</row>
    <row r="730">
      <c r="A730" s="11"/>
      <c r="B730" s="19"/>
      <c r="C730" s="13"/>
      <c r="D730" s="11"/>
      <c r="E730" s="11"/>
      <c r="F730" s="11"/>
      <c r="G730" s="19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</row>
    <row r="731">
      <c r="A731" s="11"/>
      <c r="B731" s="19"/>
      <c r="C731" s="13"/>
      <c r="D731" s="11"/>
      <c r="E731" s="11"/>
      <c r="F731" s="11"/>
      <c r="G731" s="19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</row>
    <row r="732">
      <c r="A732" s="11"/>
      <c r="B732" s="19"/>
      <c r="C732" s="13"/>
      <c r="D732" s="11"/>
      <c r="E732" s="11"/>
      <c r="F732" s="11"/>
      <c r="G732" s="19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</row>
    <row r="733">
      <c r="A733" s="11"/>
      <c r="B733" s="19"/>
      <c r="C733" s="13"/>
      <c r="D733" s="11"/>
      <c r="E733" s="11"/>
      <c r="F733" s="11"/>
      <c r="G733" s="19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</row>
    <row r="734">
      <c r="A734" s="11"/>
      <c r="B734" s="19"/>
      <c r="C734" s="13"/>
      <c r="D734" s="11"/>
      <c r="E734" s="11"/>
      <c r="F734" s="11"/>
      <c r="G734" s="19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</row>
    <row r="735">
      <c r="A735" s="11"/>
      <c r="B735" s="19"/>
      <c r="C735" s="13"/>
      <c r="D735" s="11"/>
      <c r="E735" s="11"/>
      <c r="F735" s="11"/>
      <c r="G735" s="19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</row>
    <row r="736">
      <c r="A736" s="11"/>
      <c r="B736" s="19"/>
      <c r="C736" s="13"/>
      <c r="D736" s="11"/>
      <c r="E736" s="11"/>
      <c r="F736" s="11"/>
      <c r="G736" s="19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</row>
    <row r="737">
      <c r="A737" s="11"/>
      <c r="B737" s="19"/>
      <c r="C737" s="13"/>
      <c r="D737" s="11"/>
      <c r="E737" s="11"/>
      <c r="F737" s="11"/>
      <c r="G737" s="19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</row>
    <row r="738">
      <c r="A738" s="11"/>
      <c r="B738" s="19"/>
      <c r="C738" s="13"/>
      <c r="D738" s="11"/>
      <c r="E738" s="11"/>
      <c r="F738" s="11"/>
      <c r="G738" s="19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</row>
    <row r="739">
      <c r="A739" s="11"/>
      <c r="B739" s="19"/>
      <c r="C739" s="13"/>
      <c r="D739" s="11"/>
      <c r="E739" s="11"/>
      <c r="F739" s="11"/>
      <c r="G739" s="19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</row>
    <row r="740">
      <c r="A740" s="11"/>
      <c r="B740" s="19"/>
      <c r="C740" s="13"/>
      <c r="D740" s="11"/>
      <c r="E740" s="11"/>
      <c r="F740" s="11"/>
      <c r="G740" s="19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</row>
    <row r="741">
      <c r="A741" s="11"/>
      <c r="B741" s="19"/>
      <c r="C741" s="13"/>
      <c r="D741" s="11"/>
      <c r="E741" s="11"/>
      <c r="F741" s="11"/>
      <c r="G741" s="19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</row>
    <row r="742">
      <c r="A742" s="11"/>
      <c r="B742" s="19"/>
      <c r="C742" s="13"/>
      <c r="D742" s="11"/>
      <c r="E742" s="11"/>
      <c r="F742" s="11"/>
      <c r="G742" s="19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</row>
    <row r="743">
      <c r="A743" s="11"/>
      <c r="B743" s="19"/>
      <c r="C743" s="13"/>
      <c r="D743" s="11"/>
      <c r="E743" s="11"/>
      <c r="F743" s="11"/>
      <c r="G743" s="19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</row>
    <row r="744">
      <c r="A744" s="11"/>
      <c r="B744" s="19"/>
      <c r="C744" s="13"/>
      <c r="D744" s="11"/>
      <c r="E744" s="11"/>
      <c r="F744" s="11"/>
      <c r="G744" s="19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</row>
    <row r="745">
      <c r="A745" s="11"/>
      <c r="B745" s="19"/>
      <c r="C745" s="13"/>
      <c r="D745" s="11"/>
      <c r="E745" s="11"/>
      <c r="F745" s="11"/>
      <c r="G745" s="19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</row>
    <row r="746">
      <c r="A746" s="11"/>
      <c r="B746" s="19"/>
      <c r="C746" s="13"/>
      <c r="D746" s="11"/>
      <c r="E746" s="11"/>
      <c r="F746" s="11"/>
      <c r="G746" s="19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</row>
    <row r="747">
      <c r="A747" s="11"/>
      <c r="B747" s="19"/>
      <c r="C747" s="13"/>
      <c r="D747" s="11"/>
      <c r="E747" s="11"/>
      <c r="F747" s="11"/>
      <c r="G747" s="19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</row>
    <row r="748">
      <c r="A748" s="11"/>
      <c r="B748" s="19"/>
      <c r="C748" s="13"/>
      <c r="D748" s="11"/>
      <c r="E748" s="11"/>
      <c r="F748" s="11"/>
      <c r="G748" s="19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</row>
    <row r="749">
      <c r="A749" s="11"/>
      <c r="B749" s="19"/>
      <c r="C749" s="13"/>
      <c r="D749" s="11"/>
      <c r="E749" s="11"/>
      <c r="F749" s="11"/>
      <c r="G749" s="19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</row>
    <row r="750">
      <c r="A750" s="11"/>
      <c r="B750" s="19"/>
      <c r="C750" s="13"/>
      <c r="D750" s="11"/>
      <c r="E750" s="11"/>
      <c r="F750" s="11"/>
      <c r="G750" s="19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</row>
    <row r="751">
      <c r="A751" s="11"/>
      <c r="B751" s="19"/>
      <c r="C751" s="13"/>
      <c r="D751" s="11"/>
      <c r="E751" s="11"/>
      <c r="F751" s="11"/>
      <c r="G751" s="19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</row>
    <row r="752">
      <c r="A752" s="11"/>
      <c r="B752" s="19"/>
      <c r="C752" s="13"/>
      <c r="D752" s="11"/>
      <c r="E752" s="11"/>
      <c r="F752" s="11"/>
      <c r="G752" s="19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>
      <c r="A753" s="11"/>
      <c r="B753" s="19"/>
      <c r="C753" s="13"/>
      <c r="D753" s="11"/>
      <c r="E753" s="11"/>
      <c r="F753" s="11"/>
      <c r="G753" s="19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</row>
    <row r="754">
      <c r="A754" s="11"/>
      <c r="B754" s="19"/>
      <c r="C754" s="13"/>
      <c r="D754" s="11"/>
      <c r="E754" s="11"/>
      <c r="F754" s="11"/>
      <c r="G754" s="19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</row>
    <row r="755">
      <c r="A755" s="11"/>
      <c r="B755" s="19"/>
      <c r="C755" s="13"/>
      <c r="D755" s="11"/>
      <c r="E755" s="11"/>
      <c r="F755" s="11"/>
      <c r="G755" s="19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</row>
    <row r="756">
      <c r="A756" s="11"/>
      <c r="B756" s="19"/>
      <c r="C756" s="13"/>
      <c r="D756" s="11"/>
      <c r="E756" s="11"/>
      <c r="F756" s="11"/>
      <c r="G756" s="19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</row>
    <row r="757">
      <c r="A757" s="11"/>
      <c r="B757" s="19"/>
      <c r="C757" s="13"/>
      <c r="D757" s="11"/>
      <c r="E757" s="11"/>
      <c r="F757" s="11"/>
      <c r="G757" s="19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</row>
    <row r="758">
      <c r="A758" s="11"/>
      <c r="B758" s="19"/>
      <c r="C758" s="13"/>
      <c r="D758" s="11"/>
      <c r="E758" s="11"/>
      <c r="F758" s="11"/>
      <c r="G758" s="19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</row>
    <row r="759">
      <c r="A759" s="11"/>
      <c r="B759" s="19"/>
      <c r="C759" s="13"/>
      <c r="D759" s="11"/>
      <c r="E759" s="11"/>
      <c r="F759" s="11"/>
      <c r="G759" s="19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</row>
    <row r="760">
      <c r="A760" s="11"/>
      <c r="B760" s="19"/>
      <c r="C760" s="13"/>
      <c r="D760" s="11"/>
      <c r="E760" s="11"/>
      <c r="F760" s="11"/>
      <c r="G760" s="19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</row>
    <row r="761">
      <c r="A761" s="11"/>
      <c r="B761" s="19"/>
      <c r="C761" s="13"/>
      <c r="D761" s="11"/>
      <c r="E761" s="11"/>
      <c r="F761" s="11"/>
      <c r="G761" s="19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</row>
    <row r="762">
      <c r="A762" s="11"/>
      <c r="B762" s="19"/>
      <c r="C762" s="13"/>
      <c r="D762" s="11"/>
      <c r="E762" s="11"/>
      <c r="F762" s="11"/>
      <c r="G762" s="19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</row>
    <row r="763">
      <c r="A763" s="11"/>
      <c r="B763" s="19"/>
      <c r="C763" s="13"/>
      <c r="D763" s="11"/>
      <c r="E763" s="11"/>
      <c r="F763" s="11"/>
      <c r="G763" s="19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</row>
    <row r="764">
      <c r="A764" s="11"/>
      <c r="B764" s="19"/>
      <c r="C764" s="13"/>
      <c r="D764" s="11"/>
      <c r="E764" s="11"/>
      <c r="F764" s="11"/>
      <c r="G764" s="19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</row>
    <row r="765">
      <c r="A765" s="11"/>
      <c r="B765" s="19"/>
      <c r="C765" s="13"/>
      <c r="D765" s="11"/>
      <c r="E765" s="11"/>
      <c r="F765" s="11"/>
      <c r="G765" s="19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</row>
    <row r="766">
      <c r="A766" s="11"/>
      <c r="B766" s="19"/>
      <c r="C766" s="13"/>
      <c r="D766" s="11"/>
      <c r="E766" s="11"/>
      <c r="F766" s="11"/>
      <c r="G766" s="19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</row>
    <row r="767">
      <c r="A767" s="11"/>
      <c r="B767" s="19"/>
      <c r="C767" s="13"/>
      <c r="D767" s="11"/>
      <c r="E767" s="11"/>
      <c r="F767" s="11"/>
      <c r="G767" s="19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</row>
    <row r="768">
      <c r="A768" s="11"/>
      <c r="B768" s="19"/>
      <c r="C768" s="13"/>
      <c r="D768" s="11"/>
      <c r="E768" s="11"/>
      <c r="F768" s="11"/>
      <c r="G768" s="19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</row>
    <row r="769">
      <c r="A769" s="11"/>
      <c r="B769" s="19"/>
      <c r="C769" s="13"/>
      <c r="D769" s="11"/>
      <c r="E769" s="11"/>
      <c r="F769" s="11"/>
      <c r="G769" s="19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</row>
    <row r="770">
      <c r="A770" s="11"/>
      <c r="B770" s="19"/>
      <c r="C770" s="13"/>
      <c r="D770" s="11"/>
      <c r="E770" s="11"/>
      <c r="F770" s="11"/>
      <c r="G770" s="19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</row>
    <row r="771">
      <c r="A771" s="11"/>
      <c r="B771" s="19"/>
      <c r="C771" s="13"/>
      <c r="D771" s="11"/>
      <c r="E771" s="11"/>
      <c r="F771" s="11"/>
      <c r="G771" s="19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</row>
    <row r="772">
      <c r="A772" s="11"/>
      <c r="B772" s="19"/>
      <c r="C772" s="13"/>
      <c r="D772" s="11"/>
      <c r="E772" s="11"/>
      <c r="F772" s="11"/>
      <c r="G772" s="19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</row>
    <row r="773">
      <c r="A773" s="11"/>
      <c r="B773" s="19"/>
      <c r="C773" s="13"/>
      <c r="D773" s="11"/>
      <c r="E773" s="11"/>
      <c r="F773" s="11"/>
      <c r="G773" s="19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</row>
    <row r="774">
      <c r="A774" s="11"/>
      <c r="B774" s="19"/>
      <c r="C774" s="13"/>
      <c r="D774" s="11"/>
      <c r="E774" s="11"/>
      <c r="F774" s="11"/>
      <c r="G774" s="19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</row>
    <row r="775">
      <c r="A775" s="11"/>
      <c r="B775" s="19"/>
      <c r="C775" s="13"/>
      <c r="D775" s="11"/>
      <c r="E775" s="11"/>
      <c r="F775" s="11"/>
      <c r="G775" s="19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</row>
    <row r="776">
      <c r="A776" s="11"/>
      <c r="B776" s="19"/>
      <c r="C776" s="13"/>
      <c r="D776" s="11"/>
      <c r="E776" s="11"/>
      <c r="F776" s="11"/>
      <c r="G776" s="19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</row>
    <row r="777">
      <c r="A777" s="11"/>
      <c r="B777" s="19"/>
      <c r="C777" s="13"/>
      <c r="D777" s="11"/>
      <c r="E777" s="11"/>
      <c r="F777" s="11"/>
      <c r="G777" s="19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</row>
    <row r="778">
      <c r="A778" s="11"/>
      <c r="B778" s="19"/>
      <c r="C778" s="13"/>
      <c r="D778" s="11"/>
      <c r="E778" s="11"/>
      <c r="F778" s="11"/>
      <c r="G778" s="19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</row>
    <row r="779">
      <c r="A779" s="11"/>
      <c r="B779" s="19"/>
      <c r="C779" s="13"/>
      <c r="D779" s="11"/>
      <c r="E779" s="11"/>
      <c r="F779" s="11"/>
      <c r="G779" s="19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</row>
    <row r="780">
      <c r="A780" s="11"/>
      <c r="B780" s="19"/>
      <c r="C780" s="13"/>
      <c r="D780" s="11"/>
      <c r="E780" s="11"/>
      <c r="F780" s="11"/>
      <c r="G780" s="19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</row>
    <row r="781">
      <c r="A781" s="11"/>
      <c r="B781" s="19"/>
      <c r="C781" s="13"/>
      <c r="D781" s="11"/>
      <c r="E781" s="11"/>
      <c r="F781" s="11"/>
      <c r="G781" s="19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</row>
    <row r="782">
      <c r="A782" s="11"/>
      <c r="B782" s="19"/>
      <c r="C782" s="13"/>
      <c r="D782" s="11"/>
      <c r="E782" s="11"/>
      <c r="F782" s="11"/>
      <c r="G782" s="19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</row>
    <row r="783">
      <c r="A783" s="11"/>
      <c r="B783" s="19"/>
      <c r="C783" s="13"/>
      <c r="D783" s="11"/>
      <c r="E783" s="11"/>
      <c r="F783" s="11"/>
      <c r="G783" s="19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</row>
    <row r="784">
      <c r="A784" s="11"/>
      <c r="B784" s="19"/>
      <c r="C784" s="13"/>
      <c r="D784" s="11"/>
      <c r="E784" s="11"/>
      <c r="F784" s="11"/>
      <c r="G784" s="19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</row>
    <row r="785">
      <c r="A785" s="11"/>
      <c r="B785" s="19"/>
      <c r="C785" s="13"/>
      <c r="D785" s="11"/>
      <c r="E785" s="11"/>
      <c r="F785" s="11"/>
      <c r="G785" s="19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</row>
    <row r="786">
      <c r="A786" s="11"/>
      <c r="B786" s="19"/>
      <c r="C786" s="13"/>
      <c r="D786" s="11"/>
      <c r="E786" s="11"/>
      <c r="F786" s="11"/>
      <c r="G786" s="19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</row>
    <row r="787">
      <c r="A787" s="11"/>
      <c r="B787" s="19"/>
      <c r="C787" s="13"/>
      <c r="D787" s="11"/>
      <c r="E787" s="11"/>
      <c r="F787" s="11"/>
      <c r="G787" s="19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</row>
    <row r="788">
      <c r="A788" s="11"/>
      <c r="B788" s="19"/>
      <c r="C788" s="13"/>
      <c r="D788" s="11"/>
      <c r="E788" s="11"/>
      <c r="F788" s="11"/>
      <c r="G788" s="19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</row>
    <row r="789">
      <c r="A789" s="11"/>
      <c r="B789" s="19"/>
      <c r="C789" s="13"/>
      <c r="D789" s="11"/>
      <c r="E789" s="11"/>
      <c r="F789" s="11"/>
      <c r="G789" s="19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</row>
    <row r="790">
      <c r="A790" s="11"/>
      <c r="B790" s="19"/>
      <c r="C790" s="13"/>
      <c r="D790" s="11"/>
      <c r="E790" s="11"/>
      <c r="F790" s="11"/>
      <c r="G790" s="19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</row>
    <row r="791">
      <c r="A791" s="11"/>
      <c r="B791" s="19"/>
      <c r="C791" s="13"/>
      <c r="D791" s="11"/>
      <c r="E791" s="11"/>
      <c r="F791" s="11"/>
      <c r="G791" s="19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</row>
    <row r="792">
      <c r="A792" s="11"/>
      <c r="B792" s="19"/>
      <c r="C792" s="13"/>
      <c r="D792" s="11"/>
      <c r="E792" s="11"/>
      <c r="F792" s="11"/>
      <c r="G792" s="19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</row>
    <row r="793">
      <c r="A793" s="11"/>
      <c r="B793" s="19"/>
      <c r="C793" s="13"/>
      <c r="D793" s="11"/>
      <c r="E793" s="11"/>
      <c r="F793" s="11"/>
      <c r="G793" s="19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</row>
    <row r="794">
      <c r="A794" s="11"/>
      <c r="B794" s="19"/>
      <c r="C794" s="13"/>
      <c r="D794" s="11"/>
      <c r="E794" s="11"/>
      <c r="F794" s="11"/>
      <c r="G794" s="19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</row>
    <row r="795">
      <c r="A795" s="11"/>
      <c r="B795" s="19"/>
      <c r="C795" s="13"/>
      <c r="D795" s="11"/>
      <c r="E795" s="11"/>
      <c r="F795" s="11"/>
      <c r="G795" s="19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</row>
    <row r="796">
      <c r="A796" s="11"/>
      <c r="B796" s="19"/>
      <c r="C796" s="13"/>
      <c r="D796" s="11"/>
      <c r="E796" s="11"/>
      <c r="F796" s="11"/>
      <c r="G796" s="19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</row>
    <row r="797">
      <c r="A797" s="11"/>
      <c r="B797" s="19"/>
      <c r="C797" s="13"/>
      <c r="D797" s="11"/>
      <c r="E797" s="11"/>
      <c r="F797" s="11"/>
      <c r="G797" s="19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</row>
    <row r="798">
      <c r="A798" s="11"/>
      <c r="B798" s="19"/>
      <c r="C798" s="13"/>
      <c r="D798" s="11"/>
      <c r="E798" s="11"/>
      <c r="F798" s="11"/>
      <c r="G798" s="19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</row>
    <row r="799">
      <c r="A799" s="11"/>
      <c r="B799" s="19"/>
      <c r="C799" s="13"/>
      <c r="D799" s="11"/>
      <c r="E799" s="11"/>
      <c r="F799" s="11"/>
      <c r="G799" s="19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</row>
    <row r="800">
      <c r="A800" s="11"/>
      <c r="B800" s="19"/>
      <c r="C800" s="13"/>
      <c r="D800" s="11"/>
      <c r="E800" s="11"/>
      <c r="F800" s="11"/>
      <c r="G800" s="19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</row>
    <row r="801">
      <c r="A801" s="11"/>
      <c r="B801" s="19"/>
      <c r="C801" s="13"/>
      <c r="D801" s="11"/>
      <c r="E801" s="11"/>
      <c r="F801" s="11"/>
      <c r="G801" s="19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</row>
    <row r="802">
      <c r="A802" s="11"/>
      <c r="B802" s="19"/>
      <c r="C802" s="13"/>
      <c r="D802" s="11"/>
      <c r="E802" s="11"/>
      <c r="F802" s="11"/>
      <c r="G802" s="19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</row>
    <row r="803">
      <c r="A803" s="11"/>
      <c r="B803" s="19"/>
      <c r="C803" s="13"/>
      <c r="D803" s="11"/>
      <c r="E803" s="11"/>
      <c r="F803" s="11"/>
      <c r="G803" s="19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</row>
    <row r="804">
      <c r="A804" s="11"/>
      <c r="B804" s="19"/>
      <c r="C804" s="13"/>
      <c r="D804" s="11"/>
      <c r="E804" s="11"/>
      <c r="F804" s="11"/>
      <c r="G804" s="19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</row>
    <row r="805">
      <c r="A805" s="11"/>
      <c r="B805" s="19"/>
      <c r="C805" s="13"/>
      <c r="D805" s="11"/>
      <c r="E805" s="11"/>
      <c r="F805" s="11"/>
      <c r="G805" s="19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</row>
    <row r="806">
      <c r="A806" s="11"/>
      <c r="B806" s="19"/>
      <c r="C806" s="13"/>
      <c r="D806" s="11"/>
      <c r="E806" s="11"/>
      <c r="F806" s="11"/>
      <c r="G806" s="19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</row>
    <row r="807">
      <c r="A807" s="11"/>
      <c r="B807" s="19"/>
      <c r="C807" s="13"/>
      <c r="D807" s="11"/>
      <c r="E807" s="11"/>
      <c r="F807" s="11"/>
      <c r="G807" s="19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</row>
    <row r="808">
      <c r="A808" s="11"/>
      <c r="B808" s="19"/>
      <c r="C808" s="13"/>
      <c r="D808" s="11"/>
      <c r="E808" s="11"/>
      <c r="F808" s="11"/>
      <c r="G808" s="19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</row>
    <row r="809">
      <c r="A809" s="11"/>
      <c r="B809" s="19"/>
      <c r="C809" s="13"/>
      <c r="D809" s="11"/>
      <c r="E809" s="11"/>
      <c r="F809" s="11"/>
      <c r="G809" s="19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</row>
    <row r="810">
      <c r="A810" s="11"/>
      <c r="B810" s="19"/>
      <c r="C810" s="13"/>
      <c r="D810" s="11"/>
      <c r="E810" s="11"/>
      <c r="F810" s="11"/>
      <c r="G810" s="19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</row>
    <row r="811">
      <c r="A811" s="11"/>
      <c r="B811" s="19"/>
      <c r="C811" s="13"/>
      <c r="D811" s="11"/>
      <c r="E811" s="11"/>
      <c r="F811" s="11"/>
      <c r="G811" s="19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</row>
    <row r="812">
      <c r="A812" s="11"/>
      <c r="B812" s="19"/>
      <c r="C812" s="13"/>
      <c r="D812" s="11"/>
      <c r="E812" s="11"/>
      <c r="F812" s="11"/>
      <c r="G812" s="19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</row>
    <row r="813">
      <c r="A813" s="11"/>
      <c r="B813" s="19"/>
      <c r="C813" s="13"/>
      <c r="D813" s="11"/>
      <c r="E813" s="11"/>
      <c r="F813" s="11"/>
      <c r="G813" s="19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</row>
    <row r="814">
      <c r="A814" s="11"/>
      <c r="B814" s="19"/>
      <c r="C814" s="13"/>
      <c r="D814" s="11"/>
      <c r="E814" s="11"/>
      <c r="F814" s="11"/>
      <c r="G814" s="19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</row>
    <row r="815">
      <c r="A815" s="11"/>
      <c r="B815" s="19"/>
      <c r="C815" s="13"/>
      <c r="D815" s="11"/>
      <c r="E815" s="11"/>
      <c r="F815" s="11"/>
      <c r="G815" s="19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</row>
    <row r="816">
      <c r="A816" s="11"/>
      <c r="B816" s="19"/>
      <c r="C816" s="13"/>
      <c r="D816" s="11"/>
      <c r="E816" s="11"/>
      <c r="F816" s="11"/>
      <c r="G816" s="19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</row>
    <row r="817">
      <c r="A817" s="11"/>
      <c r="B817" s="19"/>
      <c r="C817" s="13"/>
      <c r="D817" s="11"/>
      <c r="E817" s="11"/>
      <c r="F817" s="11"/>
      <c r="G817" s="1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</row>
    <row r="818">
      <c r="A818" s="11"/>
      <c r="B818" s="19"/>
      <c r="C818" s="13"/>
      <c r="D818" s="11"/>
      <c r="E818" s="11"/>
      <c r="F818" s="11"/>
      <c r="G818" s="19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</row>
    <row r="819">
      <c r="A819" s="11"/>
      <c r="B819" s="19"/>
      <c r="C819" s="13"/>
      <c r="D819" s="11"/>
      <c r="E819" s="11"/>
      <c r="F819" s="11"/>
      <c r="G819" s="19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</row>
    <row r="820">
      <c r="A820" s="11"/>
      <c r="B820" s="19"/>
      <c r="C820" s="13"/>
      <c r="D820" s="11"/>
      <c r="E820" s="11"/>
      <c r="F820" s="11"/>
      <c r="G820" s="19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</row>
    <row r="821">
      <c r="A821" s="11"/>
      <c r="B821" s="19"/>
      <c r="C821" s="13"/>
      <c r="D821" s="11"/>
      <c r="E821" s="11"/>
      <c r="F821" s="11"/>
      <c r="G821" s="19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</row>
    <row r="822">
      <c r="A822" s="11"/>
      <c r="B822" s="19"/>
      <c r="C822" s="13"/>
      <c r="D822" s="11"/>
      <c r="E822" s="11"/>
      <c r="F822" s="11"/>
      <c r="G822" s="19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</row>
    <row r="823">
      <c r="A823" s="11"/>
      <c r="B823" s="19"/>
      <c r="C823" s="13"/>
      <c r="D823" s="11"/>
      <c r="E823" s="11"/>
      <c r="F823" s="11"/>
      <c r="G823" s="19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</row>
    <row r="824">
      <c r="A824" s="11"/>
      <c r="B824" s="19"/>
      <c r="C824" s="13"/>
      <c r="D824" s="11"/>
      <c r="E824" s="11"/>
      <c r="F824" s="11"/>
      <c r="G824" s="19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</row>
    <row r="825">
      <c r="A825" s="11"/>
      <c r="B825" s="19"/>
      <c r="C825" s="13"/>
      <c r="D825" s="11"/>
      <c r="E825" s="11"/>
      <c r="F825" s="11"/>
      <c r="G825" s="19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</row>
    <row r="826">
      <c r="A826" s="11"/>
      <c r="B826" s="19"/>
      <c r="C826" s="13"/>
      <c r="D826" s="11"/>
      <c r="E826" s="11"/>
      <c r="F826" s="11"/>
      <c r="G826" s="19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</row>
    <row r="827">
      <c r="A827" s="11"/>
      <c r="B827" s="19"/>
      <c r="C827" s="13"/>
      <c r="D827" s="11"/>
      <c r="E827" s="11"/>
      <c r="F827" s="11"/>
      <c r="G827" s="19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</row>
    <row r="828">
      <c r="A828" s="11"/>
      <c r="B828" s="19"/>
      <c r="C828" s="13"/>
      <c r="D828" s="11"/>
      <c r="E828" s="11"/>
      <c r="F828" s="11"/>
      <c r="G828" s="19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</row>
    <row r="829">
      <c r="A829" s="11"/>
      <c r="B829" s="19"/>
      <c r="C829" s="13"/>
      <c r="D829" s="11"/>
      <c r="E829" s="11"/>
      <c r="F829" s="11"/>
      <c r="G829" s="19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</row>
    <row r="830">
      <c r="A830" s="11"/>
      <c r="B830" s="19"/>
      <c r="C830" s="13"/>
      <c r="D830" s="11"/>
      <c r="E830" s="11"/>
      <c r="F830" s="11"/>
      <c r="G830" s="19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</row>
    <row r="831">
      <c r="A831" s="11"/>
      <c r="B831" s="19"/>
      <c r="C831" s="13"/>
      <c r="D831" s="11"/>
      <c r="E831" s="11"/>
      <c r="F831" s="11"/>
      <c r="G831" s="19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</row>
    <row r="832">
      <c r="A832" s="11"/>
      <c r="B832" s="19"/>
      <c r="C832" s="13"/>
      <c r="D832" s="11"/>
      <c r="E832" s="11"/>
      <c r="F832" s="11"/>
      <c r="G832" s="19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</row>
    <row r="833">
      <c r="A833" s="11"/>
      <c r="B833" s="19"/>
      <c r="C833" s="13"/>
      <c r="D833" s="11"/>
      <c r="E833" s="11"/>
      <c r="F833" s="11"/>
      <c r="G833" s="19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</row>
    <row r="834">
      <c r="A834" s="11"/>
      <c r="B834" s="19"/>
      <c r="C834" s="13"/>
      <c r="D834" s="11"/>
      <c r="E834" s="11"/>
      <c r="F834" s="11"/>
      <c r="G834" s="19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</row>
    <row r="835">
      <c r="A835" s="11"/>
      <c r="B835" s="19"/>
      <c r="C835" s="13"/>
      <c r="D835" s="11"/>
      <c r="E835" s="11"/>
      <c r="F835" s="11"/>
      <c r="G835" s="19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</row>
    <row r="836">
      <c r="A836" s="11"/>
      <c r="B836" s="19"/>
      <c r="C836" s="13"/>
      <c r="D836" s="11"/>
      <c r="E836" s="11"/>
      <c r="F836" s="11"/>
      <c r="G836" s="19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</row>
    <row r="837">
      <c r="A837" s="11"/>
      <c r="B837" s="19"/>
      <c r="C837" s="13"/>
      <c r="D837" s="11"/>
      <c r="E837" s="11"/>
      <c r="F837" s="11"/>
      <c r="G837" s="19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</row>
    <row r="838">
      <c r="A838" s="11"/>
      <c r="B838" s="19"/>
      <c r="C838" s="13"/>
      <c r="D838" s="11"/>
      <c r="E838" s="11"/>
      <c r="F838" s="11"/>
      <c r="G838" s="19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</row>
    <row r="839">
      <c r="A839" s="11"/>
      <c r="B839" s="19"/>
      <c r="C839" s="13"/>
      <c r="D839" s="11"/>
      <c r="E839" s="11"/>
      <c r="F839" s="11"/>
      <c r="G839" s="19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</row>
    <row r="840">
      <c r="A840" s="11"/>
      <c r="B840" s="19"/>
      <c r="C840" s="13"/>
      <c r="D840" s="11"/>
      <c r="E840" s="11"/>
      <c r="F840" s="11"/>
      <c r="G840" s="19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</row>
    <row r="841">
      <c r="A841" s="11"/>
      <c r="B841" s="19"/>
      <c r="C841" s="13"/>
      <c r="D841" s="11"/>
      <c r="E841" s="11"/>
      <c r="F841" s="11"/>
      <c r="G841" s="19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</row>
    <row r="842">
      <c r="A842" s="11"/>
      <c r="B842" s="19"/>
      <c r="C842" s="13"/>
      <c r="D842" s="11"/>
      <c r="E842" s="11"/>
      <c r="F842" s="11"/>
      <c r="G842" s="19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</row>
    <row r="843">
      <c r="A843" s="11"/>
      <c r="B843" s="19"/>
      <c r="C843" s="13"/>
      <c r="D843" s="11"/>
      <c r="E843" s="11"/>
      <c r="F843" s="11"/>
      <c r="G843" s="19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</row>
    <row r="844">
      <c r="A844" s="11"/>
      <c r="B844" s="19"/>
      <c r="C844" s="13"/>
      <c r="D844" s="11"/>
      <c r="E844" s="11"/>
      <c r="F844" s="11"/>
      <c r="G844" s="19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</row>
    <row r="845">
      <c r="A845" s="11"/>
      <c r="B845" s="19"/>
      <c r="C845" s="13"/>
      <c r="D845" s="11"/>
      <c r="E845" s="11"/>
      <c r="F845" s="11"/>
      <c r="G845" s="1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</row>
    <row r="846">
      <c r="A846" s="11"/>
      <c r="B846" s="19"/>
      <c r="C846" s="13"/>
      <c r="D846" s="11"/>
      <c r="E846" s="11"/>
      <c r="F846" s="11"/>
      <c r="G846" s="19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</row>
    <row r="847">
      <c r="A847" s="11"/>
      <c r="B847" s="19"/>
      <c r="C847" s="13"/>
      <c r="D847" s="11"/>
      <c r="E847" s="11"/>
      <c r="F847" s="11"/>
      <c r="G847" s="19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</row>
    <row r="848">
      <c r="A848" s="11"/>
      <c r="B848" s="19"/>
      <c r="C848" s="13"/>
      <c r="D848" s="11"/>
      <c r="E848" s="11"/>
      <c r="F848" s="11"/>
      <c r="G848" s="19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</row>
    <row r="849">
      <c r="A849" s="11"/>
      <c r="B849" s="19"/>
      <c r="C849" s="13"/>
      <c r="D849" s="11"/>
      <c r="E849" s="11"/>
      <c r="F849" s="11"/>
      <c r="G849" s="19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</row>
    <row r="850">
      <c r="A850" s="11"/>
      <c r="B850" s="19"/>
      <c r="C850" s="13"/>
      <c r="D850" s="11"/>
      <c r="E850" s="11"/>
      <c r="F850" s="11"/>
      <c r="G850" s="19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</row>
    <row r="851">
      <c r="A851" s="11"/>
      <c r="B851" s="19"/>
      <c r="C851" s="13"/>
      <c r="D851" s="11"/>
      <c r="E851" s="11"/>
      <c r="F851" s="11"/>
      <c r="G851" s="19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</row>
    <row r="852">
      <c r="A852" s="11"/>
      <c r="B852" s="19"/>
      <c r="C852" s="13"/>
      <c r="D852" s="11"/>
      <c r="E852" s="11"/>
      <c r="F852" s="11"/>
      <c r="G852" s="19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</row>
    <row r="853">
      <c r="A853" s="11"/>
      <c r="B853" s="19"/>
      <c r="C853" s="13"/>
      <c r="D853" s="11"/>
      <c r="E853" s="11"/>
      <c r="F853" s="11"/>
      <c r="G853" s="19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</row>
    <row r="854">
      <c r="A854" s="11"/>
      <c r="B854" s="19"/>
      <c r="C854" s="13"/>
      <c r="D854" s="11"/>
      <c r="E854" s="11"/>
      <c r="F854" s="11"/>
      <c r="G854" s="19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</row>
    <row r="855">
      <c r="A855" s="11"/>
      <c r="B855" s="19"/>
      <c r="C855" s="13"/>
      <c r="D855" s="11"/>
      <c r="E855" s="11"/>
      <c r="F855" s="11"/>
      <c r="G855" s="19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</row>
    <row r="856">
      <c r="A856" s="11"/>
      <c r="B856" s="19"/>
      <c r="C856" s="13"/>
      <c r="D856" s="11"/>
      <c r="E856" s="11"/>
      <c r="F856" s="11"/>
      <c r="G856" s="19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</row>
    <row r="857">
      <c r="A857" s="11"/>
      <c r="B857" s="19"/>
      <c r="C857" s="13"/>
      <c r="D857" s="11"/>
      <c r="E857" s="11"/>
      <c r="F857" s="11"/>
      <c r="G857" s="19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</row>
    <row r="858">
      <c r="A858" s="11"/>
      <c r="B858" s="19"/>
      <c r="C858" s="13"/>
      <c r="D858" s="11"/>
      <c r="E858" s="11"/>
      <c r="F858" s="11"/>
      <c r="G858" s="19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</row>
    <row r="859">
      <c r="A859" s="11"/>
      <c r="B859" s="19"/>
      <c r="C859" s="13"/>
      <c r="D859" s="11"/>
      <c r="E859" s="11"/>
      <c r="F859" s="11"/>
      <c r="G859" s="19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</row>
    <row r="860">
      <c r="A860" s="11"/>
      <c r="B860" s="19"/>
      <c r="C860" s="13"/>
      <c r="D860" s="11"/>
      <c r="E860" s="11"/>
      <c r="F860" s="11"/>
      <c r="G860" s="19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</row>
    <row r="861">
      <c r="A861" s="11"/>
      <c r="B861" s="19"/>
      <c r="C861" s="13"/>
      <c r="D861" s="11"/>
      <c r="E861" s="11"/>
      <c r="F861" s="11"/>
      <c r="G861" s="19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</row>
    <row r="862">
      <c r="A862" s="11"/>
      <c r="B862" s="19"/>
      <c r="C862" s="13"/>
      <c r="D862" s="11"/>
      <c r="E862" s="11"/>
      <c r="F862" s="11"/>
      <c r="G862" s="19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</row>
    <row r="863">
      <c r="A863" s="11"/>
      <c r="B863" s="19"/>
      <c r="C863" s="13"/>
      <c r="D863" s="11"/>
      <c r="E863" s="11"/>
      <c r="F863" s="11"/>
      <c r="G863" s="19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</row>
    <row r="864">
      <c r="A864" s="11"/>
      <c r="B864" s="19"/>
      <c r="C864" s="13"/>
      <c r="D864" s="11"/>
      <c r="E864" s="11"/>
      <c r="F864" s="11"/>
      <c r="G864" s="19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</row>
    <row r="865">
      <c r="A865" s="11"/>
      <c r="B865" s="19"/>
      <c r="C865" s="13"/>
      <c r="D865" s="11"/>
      <c r="E865" s="11"/>
      <c r="F865" s="11"/>
      <c r="G865" s="19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</row>
    <row r="866">
      <c r="A866" s="11"/>
      <c r="B866" s="19"/>
      <c r="C866" s="13"/>
      <c r="D866" s="11"/>
      <c r="E866" s="11"/>
      <c r="F866" s="11"/>
      <c r="G866" s="19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</row>
    <row r="867">
      <c r="A867" s="11"/>
      <c r="B867" s="19"/>
      <c r="C867" s="13"/>
      <c r="D867" s="11"/>
      <c r="E867" s="11"/>
      <c r="F867" s="11"/>
      <c r="G867" s="19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</row>
    <row r="868">
      <c r="A868" s="11"/>
      <c r="B868" s="19"/>
      <c r="C868" s="13"/>
      <c r="D868" s="11"/>
      <c r="E868" s="11"/>
      <c r="F868" s="11"/>
      <c r="G868" s="19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</row>
    <row r="869">
      <c r="A869" s="11"/>
      <c r="B869" s="19"/>
      <c r="C869" s="13"/>
      <c r="D869" s="11"/>
      <c r="E869" s="11"/>
      <c r="F869" s="11"/>
      <c r="G869" s="19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</row>
    <row r="870">
      <c r="A870" s="11"/>
      <c r="B870" s="19"/>
      <c r="C870" s="13"/>
      <c r="D870" s="11"/>
      <c r="E870" s="11"/>
      <c r="F870" s="11"/>
      <c r="G870" s="19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</row>
    <row r="871">
      <c r="A871" s="11"/>
      <c r="B871" s="19"/>
      <c r="C871" s="13"/>
      <c r="D871" s="11"/>
      <c r="E871" s="11"/>
      <c r="F871" s="11"/>
      <c r="G871" s="19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</row>
    <row r="872">
      <c r="A872" s="11"/>
      <c r="B872" s="19"/>
      <c r="C872" s="13"/>
      <c r="D872" s="11"/>
      <c r="E872" s="11"/>
      <c r="F872" s="11"/>
      <c r="G872" s="19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</row>
    <row r="873">
      <c r="A873" s="11"/>
      <c r="B873" s="19"/>
      <c r="C873" s="13"/>
      <c r="D873" s="11"/>
      <c r="E873" s="11"/>
      <c r="F873" s="11"/>
      <c r="G873" s="19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  <row r="874">
      <c r="A874" s="11"/>
      <c r="B874" s="19"/>
      <c r="C874" s="13"/>
      <c r="D874" s="11"/>
      <c r="E874" s="11"/>
      <c r="F874" s="11"/>
      <c r="G874" s="19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</row>
    <row r="875">
      <c r="A875" s="11"/>
      <c r="B875" s="19"/>
      <c r="C875" s="13"/>
      <c r="D875" s="11"/>
      <c r="E875" s="11"/>
      <c r="F875" s="11"/>
      <c r="G875" s="19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</row>
    <row r="876">
      <c r="A876" s="11"/>
      <c r="B876" s="19"/>
      <c r="C876" s="13"/>
      <c r="D876" s="11"/>
      <c r="E876" s="11"/>
      <c r="F876" s="11"/>
      <c r="G876" s="19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</row>
    <row r="877">
      <c r="A877" s="11"/>
      <c r="B877" s="19"/>
      <c r="C877" s="13"/>
      <c r="D877" s="11"/>
      <c r="E877" s="11"/>
      <c r="F877" s="11"/>
      <c r="G877" s="1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</row>
    <row r="878">
      <c r="A878" s="11"/>
      <c r="B878" s="19"/>
      <c r="C878" s="13"/>
      <c r="D878" s="11"/>
      <c r="E878" s="11"/>
      <c r="F878" s="11"/>
      <c r="G878" s="19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</row>
    <row r="879">
      <c r="A879" s="11"/>
      <c r="B879" s="19"/>
      <c r="C879" s="13"/>
      <c r="D879" s="11"/>
      <c r="E879" s="11"/>
      <c r="F879" s="11"/>
      <c r="G879" s="19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</row>
    <row r="880">
      <c r="A880" s="11"/>
      <c r="B880" s="19"/>
      <c r="C880" s="13"/>
      <c r="D880" s="11"/>
      <c r="E880" s="11"/>
      <c r="F880" s="11"/>
      <c r="G880" s="19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</row>
    <row r="881">
      <c r="A881" s="11"/>
      <c r="B881" s="19"/>
      <c r="C881" s="13"/>
      <c r="D881" s="11"/>
      <c r="E881" s="11"/>
      <c r="F881" s="11"/>
      <c r="G881" s="19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</row>
    <row r="882">
      <c r="A882" s="11"/>
      <c r="B882" s="19"/>
      <c r="C882" s="13"/>
      <c r="D882" s="11"/>
      <c r="E882" s="11"/>
      <c r="F882" s="11"/>
      <c r="G882" s="19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</row>
    <row r="883">
      <c r="A883" s="11"/>
      <c r="B883" s="19"/>
      <c r="C883" s="13"/>
      <c r="D883" s="11"/>
      <c r="E883" s="11"/>
      <c r="F883" s="11"/>
      <c r="G883" s="19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</row>
    <row r="884">
      <c r="A884" s="11"/>
      <c r="B884" s="19"/>
      <c r="C884" s="13"/>
      <c r="D884" s="11"/>
      <c r="E884" s="11"/>
      <c r="F884" s="11"/>
      <c r="G884" s="1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</row>
    <row r="885">
      <c r="A885" s="11"/>
      <c r="B885" s="19"/>
      <c r="C885" s="13"/>
      <c r="D885" s="11"/>
      <c r="E885" s="11"/>
      <c r="F885" s="11"/>
      <c r="G885" s="19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</row>
    <row r="886">
      <c r="A886" s="11"/>
      <c r="B886" s="19"/>
      <c r="C886" s="13"/>
      <c r="D886" s="11"/>
      <c r="E886" s="11"/>
      <c r="F886" s="11"/>
      <c r="G886" s="19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</row>
    <row r="887">
      <c r="A887" s="11"/>
      <c r="B887" s="19"/>
      <c r="C887" s="13"/>
      <c r="D887" s="11"/>
      <c r="E887" s="11"/>
      <c r="F887" s="11"/>
      <c r="G887" s="19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</row>
    <row r="888">
      <c r="A888" s="11"/>
      <c r="B888" s="19"/>
      <c r="C888" s="13"/>
      <c r="D888" s="11"/>
      <c r="E888" s="11"/>
      <c r="F888" s="11"/>
      <c r="G888" s="19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</row>
    <row r="889">
      <c r="A889" s="11"/>
      <c r="B889" s="19"/>
      <c r="C889" s="13"/>
      <c r="D889" s="11"/>
      <c r="E889" s="11"/>
      <c r="F889" s="11"/>
      <c r="G889" s="19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</row>
    <row r="890">
      <c r="A890" s="11"/>
      <c r="B890" s="19"/>
      <c r="C890" s="13"/>
      <c r="D890" s="11"/>
      <c r="E890" s="11"/>
      <c r="F890" s="11"/>
      <c r="G890" s="19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</row>
    <row r="891">
      <c r="A891" s="11"/>
      <c r="B891" s="19"/>
      <c r="C891" s="13"/>
      <c r="D891" s="11"/>
      <c r="E891" s="11"/>
      <c r="F891" s="11"/>
      <c r="G891" s="19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</row>
    <row r="892">
      <c r="A892" s="11"/>
      <c r="B892" s="19"/>
      <c r="C892" s="13"/>
      <c r="D892" s="11"/>
      <c r="E892" s="11"/>
      <c r="F892" s="11"/>
      <c r="G892" s="19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</row>
    <row r="893">
      <c r="A893" s="11"/>
      <c r="B893" s="19"/>
      <c r="C893" s="13"/>
      <c r="D893" s="11"/>
      <c r="E893" s="11"/>
      <c r="F893" s="11"/>
      <c r="G893" s="19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</row>
    <row r="894">
      <c r="A894" s="11"/>
      <c r="B894" s="19"/>
      <c r="C894" s="13"/>
      <c r="D894" s="11"/>
      <c r="E894" s="11"/>
      <c r="F894" s="11"/>
      <c r="G894" s="19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</row>
    <row r="895">
      <c r="A895" s="11"/>
      <c r="B895" s="19"/>
      <c r="C895" s="13"/>
      <c r="D895" s="11"/>
      <c r="E895" s="11"/>
      <c r="F895" s="11"/>
      <c r="G895" s="19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</row>
    <row r="896">
      <c r="A896" s="11"/>
      <c r="B896" s="19"/>
      <c r="C896" s="13"/>
      <c r="D896" s="11"/>
      <c r="E896" s="11"/>
      <c r="F896" s="11"/>
      <c r="G896" s="19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</row>
    <row r="897">
      <c r="A897" s="11"/>
      <c r="B897" s="19"/>
      <c r="C897" s="13"/>
      <c r="D897" s="11"/>
      <c r="E897" s="11"/>
      <c r="F897" s="11"/>
      <c r="G897" s="19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</row>
    <row r="898">
      <c r="A898" s="11"/>
      <c r="B898" s="19"/>
      <c r="C898" s="13"/>
      <c r="D898" s="11"/>
      <c r="E898" s="11"/>
      <c r="F898" s="11"/>
      <c r="G898" s="19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</row>
    <row r="899">
      <c r="A899" s="11"/>
      <c r="B899" s="19"/>
      <c r="C899" s="13"/>
      <c r="D899" s="11"/>
      <c r="E899" s="11"/>
      <c r="F899" s="11"/>
      <c r="G899" s="19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</row>
    <row r="900">
      <c r="A900" s="11"/>
      <c r="B900" s="19"/>
      <c r="C900" s="13"/>
      <c r="D900" s="11"/>
      <c r="E900" s="11"/>
      <c r="F900" s="11"/>
      <c r="G900" s="19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</row>
    <row r="901">
      <c r="A901" s="11"/>
      <c r="B901" s="19"/>
      <c r="C901" s="13"/>
      <c r="D901" s="11"/>
      <c r="E901" s="11"/>
      <c r="F901" s="11"/>
      <c r="G901" s="19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</row>
    <row r="902">
      <c r="A902" s="11"/>
      <c r="B902" s="19"/>
      <c r="C902" s="13"/>
      <c r="D902" s="11"/>
      <c r="E902" s="11"/>
      <c r="F902" s="11"/>
      <c r="G902" s="19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</row>
    <row r="903">
      <c r="A903" s="11"/>
      <c r="B903" s="19"/>
      <c r="C903" s="13"/>
      <c r="D903" s="11"/>
      <c r="E903" s="11"/>
      <c r="F903" s="11"/>
      <c r="G903" s="19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</row>
    <row r="904">
      <c r="A904" s="11"/>
      <c r="B904" s="19"/>
      <c r="C904" s="13"/>
      <c r="D904" s="11"/>
      <c r="E904" s="11"/>
      <c r="F904" s="11"/>
      <c r="G904" s="19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</row>
    <row r="905">
      <c r="A905" s="11"/>
      <c r="B905" s="19"/>
      <c r="C905" s="13"/>
      <c r="D905" s="11"/>
      <c r="E905" s="11"/>
      <c r="F905" s="11"/>
      <c r="G905" s="19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</row>
    <row r="906">
      <c r="A906" s="11"/>
      <c r="B906" s="19"/>
      <c r="C906" s="13"/>
      <c r="D906" s="11"/>
      <c r="E906" s="11"/>
      <c r="F906" s="11"/>
      <c r="G906" s="19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</row>
    <row r="907">
      <c r="A907" s="11"/>
      <c r="B907" s="19"/>
      <c r="C907" s="13"/>
      <c r="D907" s="11"/>
      <c r="E907" s="11"/>
      <c r="F907" s="11"/>
      <c r="G907" s="19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</row>
    <row r="908">
      <c r="A908" s="11"/>
      <c r="B908" s="19"/>
      <c r="C908" s="13"/>
      <c r="D908" s="11"/>
      <c r="E908" s="11"/>
      <c r="F908" s="11"/>
      <c r="G908" s="19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</row>
    <row r="909">
      <c r="A909" s="11"/>
      <c r="B909" s="19"/>
      <c r="C909" s="13"/>
      <c r="D909" s="11"/>
      <c r="E909" s="11"/>
      <c r="F909" s="11"/>
      <c r="G909" s="19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</row>
    <row r="910">
      <c r="A910" s="11"/>
      <c r="B910" s="19"/>
      <c r="C910" s="13"/>
      <c r="D910" s="11"/>
      <c r="E910" s="11"/>
      <c r="F910" s="11"/>
      <c r="G910" s="19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</row>
    <row r="911">
      <c r="A911" s="11"/>
      <c r="B911" s="19"/>
      <c r="C911" s="13"/>
      <c r="D911" s="11"/>
      <c r="E911" s="11"/>
      <c r="F911" s="11"/>
      <c r="G911" s="19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</row>
    <row r="912">
      <c r="A912" s="11"/>
      <c r="B912" s="19"/>
      <c r="C912" s="13"/>
      <c r="D912" s="11"/>
      <c r="E912" s="11"/>
      <c r="F912" s="11"/>
      <c r="G912" s="19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</row>
    <row r="913">
      <c r="A913" s="11"/>
      <c r="B913" s="19"/>
      <c r="C913" s="13"/>
      <c r="D913" s="11"/>
      <c r="E913" s="11"/>
      <c r="F913" s="11"/>
      <c r="G913" s="19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</row>
    <row r="914">
      <c r="A914" s="11"/>
      <c r="B914" s="19"/>
      <c r="C914" s="13"/>
      <c r="D914" s="11"/>
      <c r="E914" s="11"/>
      <c r="F914" s="11"/>
      <c r="G914" s="1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</row>
    <row r="915">
      <c r="A915" s="11"/>
      <c r="B915" s="19"/>
      <c r="C915" s="13"/>
      <c r="D915" s="11"/>
      <c r="E915" s="11"/>
      <c r="F915" s="11"/>
      <c r="G915" s="19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</row>
    <row r="916">
      <c r="A916" s="11"/>
      <c r="B916" s="19"/>
      <c r="C916" s="13"/>
      <c r="D916" s="11"/>
      <c r="E916" s="11"/>
      <c r="F916" s="11"/>
      <c r="G916" s="19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</row>
    <row r="917">
      <c r="A917" s="11"/>
      <c r="B917" s="19"/>
      <c r="C917" s="13"/>
      <c r="D917" s="11"/>
      <c r="E917" s="11"/>
      <c r="F917" s="11"/>
      <c r="G917" s="19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</row>
    <row r="918">
      <c r="A918" s="11"/>
      <c r="B918" s="19"/>
      <c r="C918" s="13"/>
      <c r="D918" s="11"/>
      <c r="E918" s="11"/>
      <c r="F918" s="11"/>
      <c r="G918" s="19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</row>
    <row r="919">
      <c r="A919" s="11"/>
      <c r="B919" s="19"/>
      <c r="C919" s="13"/>
      <c r="D919" s="11"/>
      <c r="E919" s="11"/>
      <c r="F919" s="11"/>
      <c r="G919" s="19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</row>
    <row r="920">
      <c r="A920" s="11"/>
      <c r="B920" s="19"/>
      <c r="C920" s="13"/>
      <c r="D920" s="11"/>
      <c r="E920" s="11"/>
      <c r="F920" s="11"/>
      <c r="G920" s="19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</row>
    <row r="921">
      <c r="A921" s="11"/>
      <c r="B921" s="19"/>
      <c r="C921" s="13"/>
      <c r="D921" s="11"/>
      <c r="E921" s="11"/>
      <c r="F921" s="11"/>
      <c r="G921" s="19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</row>
    <row r="922">
      <c r="A922" s="11"/>
      <c r="B922" s="19"/>
      <c r="C922" s="13"/>
      <c r="D922" s="11"/>
      <c r="E922" s="11"/>
      <c r="F922" s="11"/>
      <c r="G922" s="19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</row>
    <row r="923">
      <c r="A923" s="11"/>
      <c r="B923" s="19"/>
      <c r="C923" s="13"/>
      <c r="D923" s="11"/>
      <c r="E923" s="11"/>
      <c r="F923" s="11"/>
      <c r="G923" s="19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</row>
    <row r="924">
      <c r="A924" s="11"/>
      <c r="B924" s="19"/>
      <c r="C924" s="13"/>
      <c r="D924" s="11"/>
      <c r="E924" s="11"/>
      <c r="F924" s="11"/>
      <c r="G924" s="19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</row>
    <row r="925">
      <c r="A925" s="11"/>
      <c r="B925" s="19"/>
      <c r="C925" s="13"/>
      <c r="D925" s="11"/>
      <c r="E925" s="11"/>
      <c r="F925" s="11"/>
      <c r="G925" s="19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</row>
    <row r="926">
      <c r="A926" s="11"/>
      <c r="B926" s="19"/>
      <c r="C926" s="13"/>
      <c r="D926" s="11"/>
      <c r="E926" s="11"/>
      <c r="F926" s="11"/>
      <c r="G926" s="19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</row>
    <row r="927">
      <c r="A927" s="11"/>
      <c r="B927" s="19"/>
      <c r="C927" s="13"/>
      <c r="D927" s="11"/>
      <c r="E927" s="11"/>
      <c r="F927" s="11"/>
      <c r="G927" s="19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</row>
    <row r="928">
      <c r="A928" s="11"/>
      <c r="B928" s="19"/>
      <c r="C928" s="13"/>
      <c r="D928" s="11"/>
      <c r="E928" s="11"/>
      <c r="F928" s="11"/>
      <c r="G928" s="19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</row>
    <row r="929">
      <c r="A929" s="11"/>
      <c r="B929" s="19"/>
      <c r="C929" s="13"/>
      <c r="D929" s="11"/>
      <c r="E929" s="11"/>
      <c r="F929" s="11"/>
      <c r="G929" s="19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</row>
    <row r="930">
      <c r="A930" s="11"/>
      <c r="B930" s="19"/>
      <c r="C930" s="13"/>
      <c r="D930" s="11"/>
      <c r="E930" s="11"/>
      <c r="F930" s="11"/>
      <c r="G930" s="19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</row>
    <row r="931">
      <c r="A931" s="11"/>
      <c r="B931" s="19"/>
      <c r="C931" s="13"/>
      <c r="D931" s="11"/>
      <c r="E931" s="11"/>
      <c r="F931" s="11"/>
      <c r="G931" s="19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</row>
    <row r="932">
      <c r="A932" s="11"/>
      <c r="B932" s="19"/>
      <c r="C932" s="13"/>
      <c r="D932" s="11"/>
      <c r="E932" s="11"/>
      <c r="F932" s="11"/>
      <c r="G932" s="19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</row>
    <row r="933">
      <c r="A933" s="11"/>
      <c r="B933" s="19"/>
      <c r="C933" s="13"/>
      <c r="D933" s="11"/>
      <c r="E933" s="11"/>
      <c r="F933" s="11"/>
      <c r="G933" s="19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</row>
    <row r="934">
      <c r="A934" s="11"/>
      <c r="B934" s="19"/>
      <c r="C934" s="13"/>
      <c r="D934" s="11"/>
      <c r="E934" s="11"/>
      <c r="F934" s="11"/>
      <c r="G934" s="19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</row>
    <row r="935">
      <c r="A935" s="11"/>
      <c r="B935" s="19"/>
      <c r="C935" s="13"/>
      <c r="D935" s="11"/>
      <c r="E935" s="11"/>
      <c r="F935" s="11"/>
      <c r="G935" s="19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</row>
    <row r="936">
      <c r="A936" s="11"/>
      <c r="B936" s="19"/>
      <c r="C936" s="13"/>
      <c r="D936" s="11"/>
      <c r="E936" s="11"/>
      <c r="F936" s="11"/>
      <c r="G936" s="19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</row>
    <row r="937">
      <c r="A937" s="11"/>
      <c r="B937" s="19"/>
      <c r="C937" s="13"/>
      <c r="D937" s="11"/>
      <c r="E937" s="11"/>
      <c r="F937" s="11"/>
      <c r="G937" s="19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</row>
    <row r="938">
      <c r="A938" s="11"/>
      <c r="B938" s="19"/>
      <c r="C938" s="13"/>
      <c r="D938" s="11"/>
      <c r="E938" s="11"/>
      <c r="F938" s="11"/>
      <c r="G938" s="19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</row>
    <row r="939">
      <c r="A939" s="11"/>
      <c r="B939" s="19"/>
      <c r="C939" s="13"/>
      <c r="D939" s="11"/>
      <c r="E939" s="11"/>
      <c r="F939" s="11"/>
      <c r="G939" s="19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</row>
    <row r="940">
      <c r="A940" s="11"/>
      <c r="B940" s="19"/>
      <c r="C940" s="13"/>
      <c r="D940" s="11"/>
      <c r="E940" s="11"/>
      <c r="F940" s="11"/>
      <c r="G940" s="1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</row>
    <row r="941">
      <c r="A941" s="11"/>
      <c r="B941" s="19"/>
      <c r="C941" s="13"/>
      <c r="D941" s="11"/>
      <c r="E941" s="11"/>
      <c r="F941" s="11"/>
      <c r="G941" s="19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</row>
    <row r="942">
      <c r="A942" s="11"/>
      <c r="B942" s="19"/>
      <c r="C942" s="13"/>
      <c r="D942" s="11"/>
      <c r="E942" s="11"/>
      <c r="F942" s="11"/>
      <c r="G942" s="19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</row>
    <row r="943">
      <c r="A943" s="11"/>
      <c r="B943" s="19"/>
      <c r="C943" s="13"/>
      <c r="D943" s="11"/>
      <c r="E943" s="11"/>
      <c r="F943" s="11"/>
      <c r="G943" s="19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</row>
    <row r="944">
      <c r="A944" s="11"/>
      <c r="B944" s="19"/>
      <c r="C944" s="13"/>
      <c r="D944" s="11"/>
      <c r="E944" s="11"/>
      <c r="F944" s="11"/>
      <c r="G944" s="19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</row>
    <row r="945">
      <c r="A945" s="11"/>
      <c r="B945" s="19"/>
      <c r="C945" s="13"/>
      <c r="D945" s="11"/>
      <c r="E945" s="11"/>
      <c r="F945" s="11"/>
      <c r="G945" s="19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</row>
    <row r="946">
      <c r="A946" s="11"/>
      <c r="B946" s="19"/>
      <c r="C946" s="13"/>
      <c r="D946" s="11"/>
      <c r="E946" s="11"/>
      <c r="F946" s="11"/>
      <c r="G946" s="19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</row>
    <row r="947">
      <c r="A947" s="11"/>
      <c r="B947" s="19"/>
      <c r="C947" s="13"/>
      <c r="D947" s="11"/>
      <c r="E947" s="11"/>
      <c r="F947" s="11"/>
      <c r="G947" s="19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</row>
    <row r="948">
      <c r="A948" s="11"/>
      <c r="B948" s="19"/>
      <c r="C948" s="13"/>
      <c r="D948" s="11"/>
      <c r="E948" s="11"/>
      <c r="F948" s="11"/>
      <c r="G948" s="19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</row>
    <row r="949">
      <c r="A949" s="11"/>
      <c r="B949" s="19"/>
      <c r="C949" s="13"/>
      <c r="D949" s="11"/>
      <c r="E949" s="11"/>
      <c r="F949" s="11"/>
      <c r="G949" s="19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</row>
    <row r="950">
      <c r="A950" s="11"/>
      <c r="B950" s="19"/>
      <c r="C950" s="13"/>
      <c r="D950" s="11"/>
      <c r="E950" s="11"/>
      <c r="F950" s="11"/>
      <c r="G950" s="19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</row>
    <row r="951">
      <c r="A951" s="11"/>
      <c r="B951" s="19"/>
      <c r="C951" s="13"/>
      <c r="D951" s="11"/>
      <c r="E951" s="11"/>
      <c r="F951" s="11"/>
      <c r="G951" s="19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</row>
    <row r="952">
      <c r="A952" s="11"/>
      <c r="B952" s="19"/>
      <c r="C952" s="13"/>
      <c r="D952" s="11"/>
      <c r="E952" s="11"/>
      <c r="F952" s="11"/>
      <c r="G952" s="19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>
      <c r="A953" s="11"/>
      <c r="B953" s="19"/>
      <c r="C953" s="13"/>
      <c r="D953" s="11"/>
      <c r="E953" s="11"/>
      <c r="F953" s="11"/>
      <c r="G953" s="19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</row>
    <row r="954">
      <c r="A954" s="11"/>
      <c r="B954" s="19"/>
      <c r="C954" s="13"/>
      <c r="D954" s="11"/>
      <c r="E954" s="11"/>
      <c r="F954" s="11"/>
      <c r="G954" s="19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</row>
    <row r="955">
      <c r="A955" s="11"/>
      <c r="B955" s="19"/>
      <c r="C955" s="13"/>
      <c r="D955" s="11"/>
      <c r="E955" s="11"/>
      <c r="F955" s="11"/>
      <c r="G955" s="19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</row>
    <row r="956">
      <c r="A956" s="11"/>
      <c r="B956" s="19"/>
      <c r="C956" s="13"/>
      <c r="D956" s="11"/>
      <c r="E956" s="11"/>
      <c r="F956" s="11"/>
      <c r="G956" s="19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</row>
    <row r="957">
      <c r="A957" s="11"/>
      <c r="B957" s="19"/>
      <c r="C957" s="13"/>
      <c r="D957" s="11"/>
      <c r="E957" s="11"/>
      <c r="F957" s="11"/>
      <c r="G957" s="1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</row>
    <row r="958">
      <c r="A958" s="11"/>
      <c r="B958" s="19"/>
      <c r="C958" s="13"/>
      <c r="D958" s="11"/>
      <c r="E958" s="11"/>
      <c r="F958" s="11"/>
      <c r="G958" s="19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</row>
    <row r="959">
      <c r="A959" s="11"/>
      <c r="B959" s="19"/>
      <c r="C959" s="13"/>
      <c r="D959" s="11"/>
      <c r="E959" s="11"/>
      <c r="F959" s="11"/>
      <c r="G959" s="19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</row>
    <row r="960">
      <c r="A960" s="11"/>
      <c r="B960" s="19"/>
      <c r="C960" s="13"/>
      <c r="D960" s="11"/>
      <c r="E960" s="11"/>
      <c r="F960" s="11"/>
      <c r="G960" s="19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</row>
    <row r="961">
      <c r="A961" s="11"/>
      <c r="B961" s="19"/>
      <c r="C961" s="13"/>
      <c r="D961" s="11"/>
      <c r="E961" s="11"/>
      <c r="F961" s="11"/>
      <c r="G961" s="19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</row>
    <row r="962">
      <c r="A962" s="11"/>
      <c r="B962" s="19"/>
      <c r="C962" s="13"/>
      <c r="D962" s="11"/>
      <c r="E962" s="11"/>
      <c r="F962" s="11"/>
      <c r="G962" s="19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</row>
    <row r="963">
      <c r="A963" s="11"/>
      <c r="B963" s="19"/>
      <c r="C963" s="13"/>
      <c r="D963" s="11"/>
      <c r="E963" s="11"/>
      <c r="F963" s="11"/>
      <c r="G963" s="19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</row>
    <row r="964">
      <c r="A964" s="11"/>
      <c r="B964" s="19"/>
      <c r="C964" s="13"/>
      <c r="D964" s="11"/>
      <c r="E964" s="11"/>
      <c r="F964" s="11"/>
      <c r="G964" s="19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</row>
    <row r="965">
      <c r="A965" s="11"/>
      <c r="B965" s="19"/>
      <c r="C965" s="13"/>
      <c r="D965" s="11"/>
      <c r="E965" s="11"/>
      <c r="F965" s="11"/>
      <c r="G965" s="19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</row>
    <row r="966">
      <c r="A966" s="11"/>
      <c r="B966" s="19"/>
      <c r="C966" s="13"/>
      <c r="D966" s="11"/>
      <c r="E966" s="11"/>
      <c r="F966" s="11"/>
      <c r="G966" s="19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</row>
    <row r="967">
      <c r="A967" s="11"/>
      <c r="B967" s="19"/>
      <c r="C967" s="13"/>
      <c r="D967" s="11"/>
      <c r="E967" s="11"/>
      <c r="F967" s="11"/>
      <c r="G967" s="19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</row>
    <row r="968">
      <c r="A968" s="11"/>
      <c r="B968" s="19"/>
      <c r="C968" s="13"/>
      <c r="D968" s="11"/>
      <c r="E968" s="11"/>
      <c r="F968" s="11"/>
      <c r="G968" s="19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</row>
    <row r="969">
      <c r="A969" s="11"/>
      <c r="B969" s="19"/>
      <c r="C969" s="13"/>
      <c r="D969" s="11"/>
      <c r="E969" s="11"/>
      <c r="F969" s="11"/>
      <c r="G969" s="19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</row>
    <row r="970">
      <c r="A970" s="11"/>
      <c r="B970" s="19"/>
      <c r="C970" s="13"/>
      <c r="D970" s="11"/>
      <c r="E970" s="11"/>
      <c r="F970" s="11"/>
      <c r="G970" s="19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</row>
    <row r="971">
      <c r="A971" s="11"/>
      <c r="B971" s="19"/>
      <c r="C971" s="13"/>
      <c r="D971" s="11"/>
      <c r="E971" s="11"/>
      <c r="F971" s="11"/>
      <c r="G971" s="19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</row>
    <row r="972">
      <c r="A972" s="11"/>
      <c r="B972" s="19"/>
      <c r="C972" s="13"/>
      <c r="D972" s="11"/>
      <c r="E972" s="11"/>
      <c r="F972" s="11"/>
      <c r="G972" s="19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</row>
    <row r="973">
      <c r="A973" s="11"/>
      <c r="B973" s="19"/>
      <c r="C973" s="13"/>
      <c r="D973" s="11"/>
      <c r="E973" s="11"/>
      <c r="F973" s="11"/>
      <c r="G973" s="19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</row>
    <row r="974">
      <c r="A974" s="11"/>
      <c r="B974" s="19"/>
      <c r="C974" s="13"/>
      <c r="D974" s="11"/>
      <c r="E974" s="11"/>
      <c r="F974" s="11"/>
      <c r="G974" s="19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</row>
    <row r="975">
      <c r="A975" s="11"/>
      <c r="B975" s="19"/>
      <c r="C975" s="13"/>
      <c r="D975" s="11"/>
      <c r="E975" s="11"/>
      <c r="F975" s="11"/>
      <c r="G975" s="19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</row>
    <row r="976">
      <c r="A976" s="11"/>
      <c r="B976" s="19"/>
      <c r="C976" s="13"/>
      <c r="D976" s="11"/>
      <c r="E976" s="11"/>
      <c r="F976" s="11"/>
      <c r="G976" s="19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</row>
    <row r="977">
      <c r="A977" s="11"/>
      <c r="B977" s="19"/>
      <c r="C977" s="13"/>
      <c r="D977" s="11"/>
      <c r="E977" s="11"/>
      <c r="F977" s="11"/>
      <c r="G977" s="19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</row>
    <row r="978">
      <c r="A978" s="11"/>
      <c r="B978" s="19"/>
      <c r="C978" s="13"/>
      <c r="D978" s="11"/>
      <c r="E978" s="11"/>
      <c r="F978" s="11"/>
      <c r="G978" s="19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</row>
    <row r="979">
      <c r="A979" s="11"/>
      <c r="B979" s="19"/>
      <c r="C979" s="13"/>
      <c r="D979" s="11"/>
      <c r="E979" s="11"/>
      <c r="F979" s="11"/>
      <c r="G979" s="19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</row>
    <row r="980">
      <c r="A980" s="11"/>
      <c r="B980" s="19"/>
      <c r="C980" s="13"/>
      <c r="D980" s="11"/>
      <c r="E980" s="11"/>
      <c r="F980" s="11"/>
      <c r="G980" s="1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</row>
    <row r="981">
      <c r="A981" s="11"/>
      <c r="B981" s="19"/>
      <c r="C981" s="13"/>
      <c r="D981" s="11"/>
      <c r="E981" s="11"/>
      <c r="F981" s="11"/>
      <c r="G981" s="19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</row>
    <row r="982">
      <c r="A982" s="11"/>
      <c r="B982" s="19"/>
      <c r="C982" s="13"/>
      <c r="D982" s="11"/>
      <c r="E982" s="11"/>
      <c r="F982" s="11"/>
      <c r="G982" s="19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</row>
    <row r="983">
      <c r="A983" s="11"/>
      <c r="B983" s="19"/>
      <c r="C983" s="13"/>
      <c r="D983" s="11"/>
      <c r="E983" s="11"/>
      <c r="F983" s="11"/>
      <c r="G983" s="19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</row>
    <row r="984">
      <c r="A984" s="11"/>
      <c r="B984" s="19"/>
      <c r="C984" s="13"/>
      <c r="D984" s="11"/>
      <c r="E984" s="11"/>
      <c r="F984" s="11"/>
      <c r="G984" s="19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</row>
    <row r="985">
      <c r="A985" s="11"/>
      <c r="B985" s="19"/>
      <c r="C985" s="13"/>
      <c r="D985" s="11"/>
      <c r="E985" s="11"/>
      <c r="F985" s="11"/>
      <c r="G985" s="19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</row>
    <row r="986">
      <c r="A986" s="11"/>
      <c r="B986" s="19"/>
      <c r="C986" s="13"/>
      <c r="D986" s="11"/>
      <c r="E986" s="11"/>
      <c r="F986" s="11"/>
      <c r="G986" s="19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</row>
    <row r="987">
      <c r="A987" s="11"/>
      <c r="B987" s="19"/>
      <c r="C987" s="13"/>
      <c r="D987" s="11"/>
      <c r="E987" s="11"/>
      <c r="F987" s="11"/>
      <c r="G987" s="19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</row>
    <row r="988">
      <c r="A988" s="11"/>
      <c r="B988" s="19"/>
      <c r="C988" s="13"/>
      <c r="D988" s="11"/>
      <c r="E988" s="11"/>
      <c r="F988" s="11"/>
      <c r="G988" s="19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</row>
    <row r="989">
      <c r="A989" s="11"/>
      <c r="B989" s="19"/>
      <c r="C989" s="13"/>
      <c r="D989" s="11"/>
      <c r="E989" s="11"/>
      <c r="F989" s="11"/>
      <c r="G989" s="19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</row>
    <row r="990">
      <c r="A990" s="11"/>
      <c r="B990" s="19"/>
      <c r="C990" s="13"/>
      <c r="D990" s="11"/>
      <c r="E990" s="11"/>
      <c r="F990" s="11"/>
      <c r="G990" s="19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</row>
    <row r="991">
      <c r="A991" s="11"/>
      <c r="B991" s="19"/>
      <c r="C991" s="13"/>
      <c r="D991" s="11"/>
      <c r="E991" s="11"/>
      <c r="F991" s="11"/>
      <c r="G991" s="19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</row>
    <row r="992">
      <c r="A992" s="11"/>
      <c r="B992" s="19"/>
      <c r="C992" s="13"/>
      <c r="D992" s="11"/>
      <c r="E992" s="11"/>
      <c r="F992" s="11"/>
      <c r="G992" s="19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</row>
    <row r="993">
      <c r="A993" s="11"/>
      <c r="B993" s="19"/>
      <c r="C993" s="13"/>
      <c r="D993" s="11"/>
      <c r="E993" s="11"/>
      <c r="F993" s="11"/>
      <c r="G993" s="19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</row>
    <row r="994">
      <c r="A994" s="11"/>
      <c r="B994" s="19"/>
      <c r="C994" s="13"/>
      <c r="D994" s="11"/>
      <c r="E994" s="11"/>
      <c r="F994" s="11"/>
      <c r="G994" s="19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</row>
    <row r="995">
      <c r="A995" s="11"/>
      <c r="B995" s="19"/>
      <c r="C995" s="13"/>
      <c r="D995" s="11"/>
      <c r="E995" s="11"/>
      <c r="F995" s="11"/>
      <c r="G995" s="19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</row>
    <row r="996">
      <c r="A996" s="11"/>
      <c r="B996" s="19"/>
      <c r="C996" s="13"/>
      <c r="D996" s="11"/>
      <c r="E996" s="11"/>
      <c r="F996" s="11"/>
      <c r="G996" s="19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</row>
    <row r="997">
      <c r="A997" s="11"/>
      <c r="B997" s="19"/>
      <c r="C997" s="13"/>
      <c r="D997" s="11"/>
      <c r="E997" s="11"/>
      <c r="F997" s="11"/>
      <c r="G997" s="19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</row>
    <row r="998">
      <c r="A998" s="11"/>
      <c r="B998" s="19"/>
      <c r="C998" s="13"/>
      <c r="D998" s="11"/>
      <c r="E998" s="11"/>
      <c r="F998" s="11"/>
      <c r="G998" s="1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</row>
    <row r="999">
      <c r="A999" s="11"/>
      <c r="B999" s="19"/>
      <c r="C999" s="13"/>
      <c r="D999" s="11"/>
      <c r="E999" s="11"/>
      <c r="F999" s="11"/>
      <c r="G999" s="19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</row>
    <row r="1000">
      <c r="A1000" s="11"/>
      <c r="B1000" s="19"/>
      <c r="C1000" s="13"/>
      <c r="D1000" s="11"/>
      <c r="E1000" s="11"/>
      <c r="F1000" s="11"/>
      <c r="G1000" s="19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</row>
    <row r="1001">
      <c r="A1001" s="11"/>
      <c r="B1001" s="19"/>
      <c r="C1001" s="13"/>
      <c r="D1001" s="11"/>
      <c r="E1001" s="11"/>
      <c r="F1001" s="11"/>
      <c r="G1001" s="19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</row>
    <row r="1002">
      <c r="A1002" s="11"/>
      <c r="B1002" s="19"/>
      <c r="C1002" s="13"/>
      <c r="D1002" s="11"/>
      <c r="E1002" s="11"/>
      <c r="F1002" s="11"/>
      <c r="G1002" s="19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</row>
    <row r="1003">
      <c r="A1003" s="11"/>
      <c r="B1003" s="19"/>
      <c r="C1003" s="13"/>
      <c r="D1003" s="11"/>
      <c r="E1003" s="11"/>
      <c r="F1003" s="11"/>
      <c r="G1003" s="19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</row>
  </sheetData>
  <mergeCells count="12">
    <mergeCell ref="H2:I2"/>
    <mergeCell ref="H3:I3"/>
    <mergeCell ref="G9:I9"/>
    <mergeCell ref="G10:I10"/>
    <mergeCell ref="G11:I11"/>
    <mergeCell ref="K1:L1"/>
    <mergeCell ref="D2:E2"/>
    <mergeCell ref="L2:N2"/>
    <mergeCell ref="P2:Q2"/>
    <mergeCell ref="T2:U2"/>
    <mergeCell ref="X2:Y2"/>
    <mergeCell ref="D3:E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0"/>
    <col customWidth="1" min="11" max="11" width="23.25"/>
    <col customWidth="1" min="12" max="12" width="22.88"/>
  </cols>
  <sheetData>
    <row r="1">
      <c r="A1" s="20" t="s">
        <v>72</v>
      </c>
      <c r="B1" s="21" t="s">
        <v>73</v>
      </c>
      <c r="C1" s="22" t="s">
        <v>74</v>
      </c>
      <c r="D1" s="22" t="s">
        <v>75</v>
      </c>
      <c r="E1" s="22" t="s">
        <v>76</v>
      </c>
      <c r="F1" s="22" t="s">
        <v>77</v>
      </c>
      <c r="G1" s="22" t="s">
        <v>78</v>
      </c>
      <c r="H1" s="22" t="s">
        <v>79</v>
      </c>
      <c r="I1" s="23" t="s">
        <v>80</v>
      </c>
      <c r="J1" s="23" t="s">
        <v>81</v>
      </c>
      <c r="K1" s="23" t="s">
        <v>82</v>
      </c>
      <c r="L1" s="23" t="s">
        <v>83</v>
      </c>
      <c r="M1" s="23" t="s">
        <v>84</v>
      </c>
    </row>
    <row r="2">
      <c r="A2" s="24" t="s">
        <v>85</v>
      </c>
      <c r="B2" s="25">
        <v>2.020000501E9</v>
      </c>
      <c r="C2" s="26" t="s">
        <v>86</v>
      </c>
      <c r="D2" s="27" t="s">
        <v>87</v>
      </c>
      <c r="E2" s="28" t="str">
        <f>IFERROR(__xludf.DUMMYFUNCTION("if(C2="""","""",QUERY(IMPORTRANGE(""https://docs.google.com/spreadsheets/d/1p-K1WwMNj5CZWWc1q5R9bOG5J5Yp9PG2gq2vtqhFprU/edit#gid=2112048218"", ""投資人版(2023.12.31)!A2:H""), ""SELECT Col7, Col5 WHERE Col8 CONTAINS '""&amp;$C2&amp;""'"", 0)
)"),"台北")</f>
        <v>台北</v>
      </c>
      <c r="F2" s="27" t="str">
        <f>IFERROR(__xludf.DUMMYFUNCTION("""COMPUTED_VALUE"""),"A. 共生公寓")</f>
        <v>A. 共生公寓</v>
      </c>
      <c r="G2" s="29" t="s">
        <v>88</v>
      </c>
      <c r="H2" s="29" t="s">
        <v>89</v>
      </c>
      <c r="I2" s="30">
        <v>300.0</v>
      </c>
      <c r="J2" s="31">
        <v>50.0</v>
      </c>
      <c r="K2" s="31">
        <v>60.0</v>
      </c>
      <c r="L2" s="31">
        <v>3.0</v>
      </c>
      <c r="M2" s="31">
        <v>70.0</v>
      </c>
    </row>
    <row r="3">
      <c r="A3" s="24" t="s">
        <v>85</v>
      </c>
      <c r="B3" s="25">
        <v>2.020000601E9</v>
      </c>
      <c r="C3" s="32" t="s">
        <v>90</v>
      </c>
      <c r="D3" s="27" t="s">
        <v>87</v>
      </c>
      <c r="E3" s="28" t="str">
        <f>IFERROR(__xludf.DUMMYFUNCTION("if(C3="""","""",QUERY(IMPORTRANGE(""https://docs.google.com/spreadsheets/d/1p-K1WwMNj5CZWWc1q5R9bOG5J5Yp9PG2gq2vtqhFprU/edit#gid=2112048218"", ""投資人版(2023.12.31)!A2:H""), ""SELECT Col7, Col5 WHERE Col8 CONTAINS '""&amp;$C3&amp;""'"", 0)
)"),"桃園")</f>
        <v>桃園</v>
      </c>
      <c r="F3" s="28" t="str">
        <f>IFERROR(__xludf.DUMMYFUNCTION("""COMPUTED_VALUE"""),"B. 包租代管")</f>
        <v>B. 包租代管</v>
      </c>
      <c r="G3" s="29" t="s">
        <v>88</v>
      </c>
      <c r="H3" s="29" t="s">
        <v>89</v>
      </c>
      <c r="I3" s="31">
        <v>450.0</v>
      </c>
      <c r="J3" s="31">
        <v>63.0</v>
      </c>
      <c r="K3" s="31">
        <v>53.0</v>
      </c>
      <c r="L3" s="31">
        <v>8.0</v>
      </c>
      <c r="M3" s="31">
        <v>70.0</v>
      </c>
    </row>
    <row r="4">
      <c r="A4" s="24" t="s">
        <v>91</v>
      </c>
      <c r="B4" s="25">
        <v>2.021000901E9</v>
      </c>
      <c r="C4" s="32" t="s">
        <v>92</v>
      </c>
      <c r="D4" s="27" t="s">
        <v>87</v>
      </c>
      <c r="E4" s="28" t="str">
        <f>IFERROR(__xludf.DUMMYFUNCTION("if(C4="""","""",QUERY(IMPORTRANGE(""https://docs.google.com/spreadsheets/d/1p-K1WwMNj5CZWWc1q5R9bOG5J5Yp9PG2gq2vtqhFprU/edit#gid=2112048218"", ""投資人版(2023.12.31)!A2:H""), ""SELECT Col7, Col5 WHERE Col8 CONTAINS '""&amp;$C4&amp;""'"", 0)
)"),"桃園")</f>
        <v>桃園</v>
      </c>
      <c r="F4" s="28" t="str">
        <f>IFERROR(__xludf.DUMMYFUNCTION("""COMPUTED_VALUE"""),"B. 包租代管")</f>
        <v>B. 包租代管</v>
      </c>
      <c r="G4" s="29" t="s">
        <v>88</v>
      </c>
      <c r="H4" s="29" t="s">
        <v>89</v>
      </c>
      <c r="I4" s="30">
        <v>200.0</v>
      </c>
      <c r="J4" s="31">
        <v>55.0</v>
      </c>
      <c r="K4" s="31">
        <v>53.0</v>
      </c>
      <c r="L4" s="31">
        <v>6.0</v>
      </c>
      <c r="M4" s="31">
        <v>80.0</v>
      </c>
    </row>
    <row r="5">
      <c r="A5" s="24" t="s">
        <v>93</v>
      </c>
      <c r="B5" s="25">
        <v>2.022002003E9</v>
      </c>
      <c r="C5" s="32" t="s">
        <v>94</v>
      </c>
      <c r="D5" s="27" t="s">
        <v>87</v>
      </c>
      <c r="E5" s="28" t="str">
        <f>IFERROR(__xludf.DUMMYFUNCTION("if(C5="""","""",QUERY(IMPORTRANGE(""https://docs.google.com/spreadsheets/d/1p-K1WwMNj5CZWWc1q5R9bOG5J5Yp9PG2gq2vtqhFprU/edit#gid=2112048218"", ""投資人版(2023.12.31)!A2:H""), ""SELECT Col7, Col5 WHERE Col8 CONTAINS '""&amp;$C5&amp;""'"", 0)
)"),"台中")</f>
        <v>台中</v>
      </c>
      <c r="F5" s="28" t="str">
        <f>IFERROR(__xludf.DUMMYFUNCTION("""COMPUTED_VALUE"""),"B. 包租代管")</f>
        <v>B. 包租代管</v>
      </c>
      <c r="G5" s="29" t="s">
        <v>95</v>
      </c>
      <c r="H5" s="29" t="s">
        <v>89</v>
      </c>
      <c r="I5" s="30">
        <v>50.0</v>
      </c>
      <c r="J5" s="31">
        <v>33.0</v>
      </c>
      <c r="K5" s="31">
        <v>36.0</v>
      </c>
      <c r="L5" s="31">
        <v>9.0</v>
      </c>
      <c r="M5" s="31">
        <v>40.0</v>
      </c>
    </row>
    <row r="6">
      <c r="A6" s="24" t="s">
        <v>93</v>
      </c>
      <c r="B6" s="25">
        <v>2.022002101E9</v>
      </c>
      <c r="C6" s="32" t="s">
        <v>96</v>
      </c>
      <c r="D6" s="27" t="s">
        <v>87</v>
      </c>
      <c r="E6" s="28" t="str">
        <f>IFERROR(__xludf.DUMMYFUNCTION("if(C6="""","""",QUERY(IMPORTRANGE(""https://docs.google.com/spreadsheets/d/1p-K1WwMNj5CZWWc1q5R9bOG5J5Yp9PG2gq2vtqhFprU/edit#gid=2112048218"", ""投資人版(2023.12.31)!A2:H""), ""SELECT Col7, Col5 WHERE Col8 CONTAINS '""&amp;$C6&amp;""'"", 0)
)"),"桃園")</f>
        <v>桃園</v>
      </c>
      <c r="F6" s="28" t="str">
        <f>IFERROR(__xludf.DUMMYFUNCTION("""COMPUTED_VALUE"""),"I. 資產公司")</f>
        <v>I. 資產公司</v>
      </c>
      <c r="G6" s="29" t="s">
        <v>88</v>
      </c>
      <c r="H6" s="29" t="s">
        <v>89</v>
      </c>
      <c r="I6" s="30">
        <v>200.0</v>
      </c>
      <c r="J6" s="31">
        <v>58.0</v>
      </c>
      <c r="K6" s="31">
        <v>63.0</v>
      </c>
      <c r="L6" s="31">
        <v>6.0</v>
      </c>
      <c r="M6" s="31">
        <v>90.0</v>
      </c>
    </row>
    <row r="7">
      <c r="A7" s="24" t="s">
        <v>97</v>
      </c>
      <c r="B7" s="25">
        <v>2.023005501E9</v>
      </c>
      <c r="C7" s="32" t="s">
        <v>98</v>
      </c>
      <c r="D7" s="27" t="s">
        <v>87</v>
      </c>
      <c r="E7" s="28" t="str">
        <f>IFERROR(__xludf.DUMMYFUNCTION("if(C7="""","""",QUERY(IMPORTRANGE(""https://docs.google.com/spreadsheets/d/1p-K1WwMNj5CZWWc1q5R9bOG5J5Yp9PG2gq2vtqhFprU/edit#gid=2112048218"", ""投資人版(2023.12.31)!A2:H""), ""SELECT Col7, Col5 WHERE Col8 CONTAINS '""&amp;$C7&amp;""'"", 0)
)"),"台北")</f>
        <v>台北</v>
      </c>
      <c r="F7" s="28" t="str">
        <f>IFERROR(__xludf.DUMMYFUNCTION("""COMPUTED_VALUE"""),"I. 資產公司")</f>
        <v>I. 資產公司</v>
      </c>
      <c r="G7" s="29" t="s">
        <v>88</v>
      </c>
      <c r="H7" s="29" t="s">
        <v>89</v>
      </c>
      <c r="I7" s="30">
        <v>150.0</v>
      </c>
      <c r="J7" s="31">
        <v>48.0</v>
      </c>
      <c r="K7" s="31">
        <v>54.0</v>
      </c>
      <c r="L7" s="31">
        <v>6.0</v>
      </c>
      <c r="M7" s="31">
        <v>70.0</v>
      </c>
    </row>
    <row r="8">
      <c r="A8" s="24" t="s">
        <v>97</v>
      </c>
      <c r="B8" s="25">
        <v>2.023005601E9</v>
      </c>
      <c r="C8" s="32" t="s">
        <v>99</v>
      </c>
      <c r="D8" s="27" t="s">
        <v>87</v>
      </c>
      <c r="E8" s="28" t="str">
        <f>IFERROR(__xludf.DUMMYFUNCTION("if(C8="""","""",QUERY(IMPORTRANGE(""https://docs.google.com/spreadsheets/d/1p-K1WwMNj5CZWWc1q5R9bOG5J5Yp9PG2gq2vtqhFprU/edit#gid=2112048218"", ""投資人版(2023.12.31)!A2:H""), ""SELECT Col7, Col5 WHERE Col8 CONTAINS '""&amp;$C8&amp;""'"", 0)
)"),"新竹")</f>
        <v>新竹</v>
      </c>
      <c r="F8" s="28" t="str">
        <f>IFERROR(__xludf.DUMMYFUNCTION("""COMPUTED_VALUE"""),"B. 包租代管")</f>
        <v>B. 包租代管</v>
      </c>
      <c r="G8" s="29" t="s">
        <v>100</v>
      </c>
      <c r="H8" s="29" t="s">
        <v>89</v>
      </c>
      <c r="I8" s="30">
        <v>50.0</v>
      </c>
      <c r="J8" s="31">
        <v>30.0</v>
      </c>
      <c r="K8" s="31">
        <v>51.0</v>
      </c>
      <c r="L8" s="31">
        <v>6.0</v>
      </c>
      <c r="M8" s="31">
        <v>70.0</v>
      </c>
    </row>
    <row r="9">
      <c r="A9" s="24" t="s">
        <v>97</v>
      </c>
      <c r="B9" s="25">
        <v>2.023007704E9</v>
      </c>
      <c r="C9" s="33" t="s">
        <v>101</v>
      </c>
      <c r="D9" s="27" t="s">
        <v>87</v>
      </c>
      <c r="E9" s="28" t="s">
        <v>102</v>
      </c>
      <c r="F9" s="28" t="s">
        <v>103</v>
      </c>
      <c r="G9" s="29" t="s">
        <v>95</v>
      </c>
      <c r="H9" s="29" t="s">
        <v>89</v>
      </c>
      <c r="I9" s="30">
        <v>10.0</v>
      </c>
      <c r="J9" s="31">
        <v>30.0</v>
      </c>
      <c r="K9" s="31">
        <v>59.0</v>
      </c>
      <c r="L9" s="31">
        <v>2.0</v>
      </c>
      <c r="M9" s="31">
        <v>50.0</v>
      </c>
    </row>
    <row r="10">
      <c r="A10" s="24" t="s">
        <v>97</v>
      </c>
      <c r="B10" s="25">
        <v>2.023005701E9</v>
      </c>
      <c r="C10" s="32" t="s">
        <v>104</v>
      </c>
      <c r="D10" s="27" t="s">
        <v>87</v>
      </c>
      <c r="E10" s="28" t="s">
        <v>105</v>
      </c>
      <c r="F10" s="28" t="s">
        <v>106</v>
      </c>
      <c r="G10" s="29" t="s">
        <v>107</v>
      </c>
      <c r="H10" s="29" t="s">
        <v>89</v>
      </c>
      <c r="I10" s="31">
        <v>750.0</v>
      </c>
      <c r="J10" s="31">
        <v>30.0</v>
      </c>
      <c r="K10" s="31">
        <v>79.0</v>
      </c>
      <c r="L10" s="31">
        <v>6.0</v>
      </c>
      <c r="M10" s="31">
        <v>80.0</v>
      </c>
    </row>
    <row r="11">
      <c r="A11" s="24" t="s">
        <v>97</v>
      </c>
      <c r="B11" s="25">
        <v>2.023003503E9</v>
      </c>
      <c r="C11" s="32" t="s">
        <v>108</v>
      </c>
      <c r="D11" s="27" t="s">
        <v>87</v>
      </c>
      <c r="E11" s="28" t="s">
        <v>102</v>
      </c>
      <c r="F11" s="28" t="s">
        <v>106</v>
      </c>
      <c r="G11" s="29" t="s">
        <v>109</v>
      </c>
      <c r="H11" s="29" t="s">
        <v>89</v>
      </c>
      <c r="I11" s="30">
        <v>50.0</v>
      </c>
      <c r="J11" s="31">
        <v>35.0</v>
      </c>
      <c r="K11" s="31">
        <v>51.0</v>
      </c>
      <c r="L11" s="31">
        <v>2.0</v>
      </c>
      <c r="M11" s="31">
        <v>60.0</v>
      </c>
    </row>
    <row r="12">
      <c r="A12" s="24" t="s">
        <v>97</v>
      </c>
      <c r="B12" s="25">
        <v>2.023005901E9</v>
      </c>
      <c r="C12" s="32" t="s">
        <v>110</v>
      </c>
      <c r="D12" s="27" t="s">
        <v>87</v>
      </c>
      <c r="E12" s="28" t="str">
        <f>IFERROR(__xludf.DUMMYFUNCTION("if(C12="""","""",QUERY(IMPORTRANGE(""https://docs.google.com/spreadsheets/d/1p-K1WwMNj5CZWWc1q5R9bOG5J5Yp9PG2gq2vtqhFprU/edit#gid=2112048218"", ""投資人版(2023.12.31)!A2:H""), ""SELECT Col7, Col5 WHERE Col8 CONTAINS '""&amp;$C12&amp;""'"", 0)
)"),"桃園")</f>
        <v>桃園</v>
      </c>
      <c r="F12" s="28" t="str">
        <f>IFERROR(__xludf.DUMMYFUNCTION("""COMPUTED_VALUE"""),"B. 包租代管")</f>
        <v>B. 包租代管</v>
      </c>
      <c r="G12" s="29" t="s">
        <v>88</v>
      </c>
      <c r="H12" s="29" t="s">
        <v>89</v>
      </c>
      <c r="I12" s="30">
        <v>50.0</v>
      </c>
      <c r="J12" s="31">
        <v>38.0</v>
      </c>
      <c r="K12" s="31">
        <v>77.0</v>
      </c>
      <c r="L12" s="31">
        <v>2.0</v>
      </c>
      <c r="M12" s="31">
        <v>80.0</v>
      </c>
    </row>
    <row r="13">
      <c r="A13" s="24" t="s">
        <v>97</v>
      </c>
      <c r="B13" s="25">
        <v>2.023006805E9</v>
      </c>
      <c r="C13" s="34" t="s">
        <v>111</v>
      </c>
      <c r="D13" s="27" t="s">
        <v>87</v>
      </c>
      <c r="E13" s="28" t="str">
        <f>IFERROR(__xludf.DUMMYFUNCTION("if(C13="""","""",QUERY(IMPORTRANGE(""https://docs.google.com/spreadsheets/d/1p-K1WwMNj5CZWWc1q5R9bOG5J5Yp9PG2gq2vtqhFprU/edit#gid=2112048218"", ""投資人版(2023.12.31)!A2:H""), ""SELECT Col7, Col5 WHERE Col8 CONTAINS '""&amp;$C13&amp;""'"", 0)
)"),"高雄")</f>
        <v>高雄</v>
      </c>
      <c r="F13" s="28" t="str">
        <f>IFERROR(__xludf.DUMMYFUNCTION("""COMPUTED_VALUE"""),"J. 建設公司")</f>
        <v>J. 建設公司</v>
      </c>
      <c r="G13" s="29" t="s">
        <v>95</v>
      </c>
      <c r="H13" s="29" t="s">
        <v>89</v>
      </c>
      <c r="I13" s="30">
        <v>50.0</v>
      </c>
      <c r="J13" s="31">
        <v>23.0</v>
      </c>
      <c r="K13" s="31">
        <v>51.0</v>
      </c>
      <c r="L13" s="31">
        <v>4.0</v>
      </c>
      <c r="M13" s="31">
        <v>10.0</v>
      </c>
    </row>
    <row r="14">
      <c r="A14" s="24" t="s">
        <v>112</v>
      </c>
      <c r="B14" s="25">
        <v>2.024007801E9</v>
      </c>
      <c r="C14" s="35" t="s">
        <v>113</v>
      </c>
      <c r="D14" s="27" t="s">
        <v>87</v>
      </c>
      <c r="E14" s="28" t="s">
        <v>105</v>
      </c>
      <c r="F14" s="28" t="s">
        <v>114</v>
      </c>
      <c r="G14" s="29" t="s">
        <v>115</v>
      </c>
      <c r="H14" s="29" t="s">
        <v>89</v>
      </c>
      <c r="I14" s="30">
        <v>50.0</v>
      </c>
      <c r="J14" s="31">
        <v>45.0</v>
      </c>
      <c r="K14" s="31">
        <v>46.0</v>
      </c>
      <c r="L14" s="31">
        <v>12.0</v>
      </c>
      <c r="M14" s="31">
        <v>20.0</v>
      </c>
    </row>
    <row r="15">
      <c r="A15" s="24" t="s">
        <v>112</v>
      </c>
      <c r="B15" s="36"/>
      <c r="C15" s="32" t="s">
        <v>116</v>
      </c>
      <c r="D15" s="28" t="s">
        <v>117</v>
      </c>
      <c r="E15" s="28" t="s">
        <v>118</v>
      </c>
      <c r="F15" s="29" t="s">
        <v>106</v>
      </c>
      <c r="G15" s="29" t="s">
        <v>115</v>
      </c>
      <c r="H15" s="29" t="s">
        <v>89</v>
      </c>
      <c r="I15" s="29">
        <v>250.0</v>
      </c>
      <c r="J15" s="37">
        <v>48.0</v>
      </c>
      <c r="K15" s="37">
        <v>54.0</v>
      </c>
      <c r="L15" s="37">
        <v>8.0</v>
      </c>
      <c r="M15" s="37">
        <v>80.0</v>
      </c>
    </row>
    <row r="16">
      <c r="A16" s="24" t="s">
        <v>112</v>
      </c>
      <c r="B16" s="24" t="s">
        <v>119</v>
      </c>
      <c r="C16" s="32" t="s">
        <v>120</v>
      </c>
      <c r="D16" s="27" t="s">
        <v>87</v>
      </c>
      <c r="E16" s="28" t="s">
        <v>105</v>
      </c>
      <c r="F16" s="28" t="s">
        <v>106</v>
      </c>
      <c r="G16" s="29" t="s">
        <v>88</v>
      </c>
      <c r="H16" s="29" t="s">
        <v>89</v>
      </c>
      <c r="I16" s="31">
        <v>1200.0</v>
      </c>
      <c r="J16" s="31">
        <v>73.0</v>
      </c>
      <c r="K16" s="31">
        <v>81.0</v>
      </c>
      <c r="L16" s="31">
        <v>4.0</v>
      </c>
      <c r="M16" s="31">
        <v>100.0</v>
      </c>
    </row>
    <row r="17">
      <c r="A17" s="24" t="s">
        <v>112</v>
      </c>
      <c r="B17" s="24" t="s">
        <v>121</v>
      </c>
      <c r="C17" s="32" t="s">
        <v>122</v>
      </c>
      <c r="D17" s="27" t="s">
        <v>87</v>
      </c>
      <c r="E17" s="28" t="s">
        <v>123</v>
      </c>
      <c r="F17" s="28" t="s">
        <v>106</v>
      </c>
      <c r="G17" s="29" t="s">
        <v>100</v>
      </c>
      <c r="H17" s="29" t="s">
        <v>89</v>
      </c>
      <c r="I17" s="30">
        <v>150.0</v>
      </c>
      <c r="J17" s="31">
        <v>28.0</v>
      </c>
      <c r="K17" s="31">
        <v>56.0</v>
      </c>
      <c r="L17" s="31">
        <v>5.0</v>
      </c>
      <c r="M17" s="31">
        <v>50.0</v>
      </c>
    </row>
    <row r="18">
      <c r="A18" s="24" t="s">
        <v>112</v>
      </c>
      <c r="B18" s="24" t="s">
        <v>124</v>
      </c>
      <c r="C18" s="35" t="s">
        <v>125</v>
      </c>
      <c r="D18" s="27" t="s">
        <v>87</v>
      </c>
      <c r="E18" s="29" t="s">
        <v>102</v>
      </c>
      <c r="F18" s="28" t="s">
        <v>106</v>
      </c>
      <c r="G18" s="29" t="s">
        <v>107</v>
      </c>
      <c r="H18" s="29" t="s">
        <v>89</v>
      </c>
      <c r="I18" s="30">
        <v>100.0</v>
      </c>
      <c r="J18" s="31">
        <v>40.0</v>
      </c>
      <c r="K18" s="31">
        <v>36.0</v>
      </c>
      <c r="L18" s="31">
        <v>12.0</v>
      </c>
      <c r="M18" s="31">
        <v>40.0</v>
      </c>
    </row>
    <row r="19">
      <c r="A19" s="24" t="s">
        <v>112</v>
      </c>
      <c r="B19" s="36"/>
      <c r="C19" s="32" t="s">
        <v>126</v>
      </c>
      <c r="D19" s="27" t="s">
        <v>87</v>
      </c>
      <c r="E19" s="28" t="s">
        <v>105</v>
      </c>
      <c r="F19" s="29" t="s">
        <v>127</v>
      </c>
      <c r="G19" s="29" t="s">
        <v>88</v>
      </c>
      <c r="H19" s="29" t="s">
        <v>89</v>
      </c>
      <c r="I19" s="30">
        <v>100.0</v>
      </c>
      <c r="J19" s="31">
        <v>25.0</v>
      </c>
      <c r="K19" s="31">
        <v>89.0</v>
      </c>
      <c r="L19" s="31">
        <v>2.0</v>
      </c>
      <c r="M19" s="31">
        <v>90.0</v>
      </c>
    </row>
    <row r="20">
      <c r="A20" s="24" t="s">
        <v>112</v>
      </c>
      <c r="B20" s="34"/>
      <c r="C20" s="32" t="s">
        <v>128</v>
      </c>
      <c r="D20" s="27" t="s">
        <v>87</v>
      </c>
      <c r="E20" s="28" t="s">
        <v>129</v>
      </c>
      <c r="F20" s="28" t="s">
        <v>130</v>
      </c>
      <c r="G20" s="29" t="s">
        <v>109</v>
      </c>
      <c r="H20" s="29" t="s">
        <v>89</v>
      </c>
      <c r="I20" s="30">
        <v>50.0</v>
      </c>
      <c r="J20" s="31">
        <v>35.0</v>
      </c>
      <c r="K20" s="31">
        <v>49.0</v>
      </c>
      <c r="L20" s="31">
        <v>9.0</v>
      </c>
      <c r="M20" s="31">
        <v>50.0</v>
      </c>
    </row>
    <row r="21">
      <c r="A21" s="24" t="s">
        <v>112</v>
      </c>
      <c r="B21" s="36"/>
      <c r="C21" s="34" t="s">
        <v>131</v>
      </c>
      <c r="D21" s="28" t="s">
        <v>87</v>
      </c>
      <c r="E21" s="28" t="s">
        <v>129</v>
      </c>
      <c r="F21" s="29" t="s">
        <v>106</v>
      </c>
      <c r="G21" s="29" t="s">
        <v>88</v>
      </c>
      <c r="H21" s="38" t="s">
        <v>89</v>
      </c>
      <c r="I21" s="38" t="s">
        <v>132</v>
      </c>
      <c r="J21" s="31">
        <v>30.0</v>
      </c>
      <c r="K21" s="31">
        <v>51.0</v>
      </c>
      <c r="L21" s="37">
        <v>3.0</v>
      </c>
      <c r="M21" s="37">
        <v>60.0</v>
      </c>
    </row>
    <row r="22">
      <c r="A22" s="24" t="s">
        <v>112</v>
      </c>
      <c r="B22" s="36"/>
      <c r="C22" s="32" t="s">
        <v>133</v>
      </c>
      <c r="D22" s="28" t="s">
        <v>87</v>
      </c>
      <c r="E22" s="28" t="s">
        <v>134</v>
      </c>
      <c r="F22" s="29" t="s">
        <v>135</v>
      </c>
      <c r="G22" s="29" t="s">
        <v>107</v>
      </c>
      <c r="H22" s="29" t="s">
        <v>89</v>
      </c>
      <c r="I22" s="29">
        <v>50.0</v>
      </c>
      <c r="J22" s="31">
        <v>25.0</v>
      </c>
      <c r="K22" s="31">
        <v>61.0</v>
      </c>
      <c r="L22" s="37">
        <v>3.0</v>
      </c>
      <c r="M22" s="37">
        <v>60.0</v>
      </c>
    </row>
    <row r="23">
      <c r="A23" s="24" t="s">
        <v>112</v>
      </c>
      <c r="B23" s="36"/>
      <c r="C23" s="32" t="s">
        <v>136</v>
      </c>
      <c r="D23" s="28" t="s">
        <v>87</v>
      </c>
      <c r="E23" s="28" t="s">
        <v>137</v>
      </c>
      <c r="F23" s="29" t="s">
        <v>106</v>
      </c>
      <c r="G23" s="29" t="s">
        <v>88</v>
      </c>
      <c r="H23" s="29" t="s">
        <v>89</v>
      </c>
      <c r="I23" s="29">
        <v>50.0</v>
      </c>
      <c r="J23" s="31">
        <v>45.0</v>
      </c>
      <c r="K23" s="31">
        <v>59.0</v>
      </c>
      <c r="L23" s="37">
        <v>4.0</v>
      </c>
      <c r="M23" s="37">
        <v>60.0</v>
      </c>
    </row>
    <row r="24">
      <c r="A24" s="24" t="s">
        <v>112</v>
      </c>
      <c r="B24" s="24" t="s">
        <v>138</v>
      </c>
      <c r="C24" s="32" t="s">
        <v>139</v>
      </c>
      <c r="D24" s="27" t="s">
        <v>87</v>
      </c>
      <c r="E24" s="28" t="s">
        <v>140</v>
      </c>
      <c r="F24" s="28" t="s">
        <v>103</v>
      </c>
      <c r="G24" s="29" t="s">
        <v>141</v>
      </c>
      <c r="H24" s="29" t="s">
        <v>89</v>
      </c>
      <c r="I24" s="30">
        <v>50.0</v>
      </c>
      <c r="J24" s="31">
        <v>28.0</v>
      </c>
      <c r="K24" s="31">
        <v>66.0</v>
      </c>
      <c r="L24" s="31">
        <v>4.0</v>
      </c>
      <c r="M24" s="31">
        <v>70.0</v>
      </c>
    </row>
    <row r="25">
      <c r="A25" s="24" t="s">
        <v>112</v>
      </c>
      <c r="B25" s="36"/>
      <c r="C25" s="32" t="s">
        <v>142</v>
      </c>
      <c r="D25" s="28" t="s">
        <v>87</v>
      </c>
      <c r="E25" s="28" t="s">
        <v>143</v>
      </c>
      <c r="F25" s="29" t="s">
        <v>103</v>
      </c>
      <c r="G25" s="39" t="s">
        <v>95</v>
      </c>
      <c r="H25" s="29" t="s">
        <v>89</v>
      </c>
      <c r="I25" s="29">
        <v>50.0</v>
      </c>
      <c r="J25" s="31">
        <v>35.0</v>
      </c>
      <c r="K25" s="31">
        <v>53.0</v>
      </c>
      <c r="L25" s="37">
        <v>6.0</v>
      </c>
      <c r="M25" s="37">
        <v>60.0</v>
      </c>
    </row>
    <row r="26">
      <c r="A26" s="24" t="s">
        <v>144</v>
      </c>
      <c r="B26" s="36"/>
      <c r="C26" s="32" t="s">
        <v>145</v>
      </c>
      <c r="D26" s="28" t="s">
        <v>87</v>
      </c>
      <c r="E26" s="28" t="s">
        <v>146</v>
      </c>
      <c r="F26" s="29" t="s">
        <v>106</v>
      </c>
      <c r="G26" s="29" t="s">
        <v>88</v>
      </c>
      <c r="H26" s="29" t="s">
        <v>89</v>
      </c>
      <c r="I26" s="29">
        <v>50.0</v>
      </c>
      <c r="J26" s="31">
        <v>50.0</v>
      </c>
      <c r="K26" s="31">
        <v>54.0</v>
      </c>
      <c r="L26" s="37">
        <v>4.0</v>
      </c>
      <c r="M26" s="37">
        <v>60.0</v>
      </c>
    </row>
    <row r="27">
      <c r="A27" s="24" t="s">
        <v>144</v>
      </c>
      <c r="B27" s="36"/>
      <c r="C27" s="32" t="s">
        <v>147</v>
      </c>
      <c r="D27" s="28" t="s">
        <v>87</v>
      </c>
      <c r="E27" s="28" t="s">
        <v>148</v>
      </c>
      <c r="F27" s="29" t="s">
        <v>106</v>
      </c>
      <c r="G27" s="29" t="s">
        <v>109</v>
      </c>
      <c r="H27" s="29" t="s">
        <v>89</v>
      </c>
      <c r="I27" s="29">
        <v>100.0</v>
      </c>
      <c r="J27" s="31">
        <v>40.0</v>
      </c>
      <c r="K27" s="31">
        <v>66.0</v>
      </c>
      <c r="L27" s="37">
        <v>2.0</v>
      </c>
      <c r="M27" s="37">
        <v>80.0</v>
      </c>
    </row>
    <row r="28">
      <c r="A28" s="25">
        <v>2023.0</v>
      </c>
      <c r="B28" s="34"/>
      <c r="C28" s="32" t="s">
        <v>149</v>
      </c>
      <c r="D28" s="27" t="s">
        <v>87</v>
      </c>
      <c r="E28" s="28" t="str">
        <f>IFERROR(__xludf.DUMMYFUNCTION("if(C28="""","""",QUERY(IMPORTRANGE(""https://docs.google.com/spreadsheets/d/1p-K1WwMNj5CZWWc1q5R9bOG5J5Yp9PG2gq2vtqhFprU/edit#gid=2112048218"", ""投資人版(2023.12.31)!A2:H""), ""SELECT Col7, Col5 WHERE Col8 CONTAINS '""&amp;$C28&amp;""'"", 0)
)"),"台中")</f>
        <v>台中</v>
      </c>
      <c r="F28" s="28" t="str">
        <f>IFERROR(__xludf.DUMMYFUNCTION("""COMPUTED_VALUE"""),"B. 包租代管")</f>
        <v>B. 包租代管</v>
      </c>
      <c r="G28" s="29" t="s">
        <v>109</v>
      </c>
      <c r="H28" s="28" t="s">
        <v>89</v>
      </c>
      <c r="I28" s="40">
        <v>150.0</v>
      </c>
      <c r="J28" s="31">
        <v>50.0</v>
      </c>
      <c r="K28" s="31">
        <v>37.0</v>
      </c>
      <c r="L28" s="37">
        <v>12.0</v>
      </c>
      <c r="M28" s="37">
        <v>40.0</v>
      </c>
    </row>
    <row r="29">
      <c r="A29" s="25">
        <v>2024.0</v>
      </c>
      <c r="B29" s="40" t="s">
        <v>150</v>
      </c>
      <c r="C29" s="34" t="s">
        <v>151</v>
      </c>
      <c r="D29" s="27" t="s">
        <v>87</v>
      </c>
      <c r="E29" s="28" t="s">
        <v>152</v>
      </c>
      <c r="F29" s="27" t="s">
        <v>106</v>
      </c>
      <c r="G29" s="28" t="s">
        <v>88</v>
      </c>
      <c r="H29" s="28" t="s">
        <v>89</v>
      </c>
      <c r="I29" s="30">
        <v>50.0</v>
      </c>
      <c r="J29" s="31">
        <v>53.0</v>
      </c>
      <c r="K29" s="31">
        <v>37.0</v>
      </c>
      <c r="L29" s="37">
        <v>8.0</v>
      </c>
      <c r="M29" s="37">
        <v>40.0</v>
      </c>
    </row>
    <row r="33">
      <c r="A33" s="41" t="s">
        <v>153</v>
      </c>
    </row>
    <row r="34">
      <c r="A34" s="42"/>
    </row>
    <row r="35">
      <c r="A35" s="41" t="s">
        <v>154</v>
      </c>
    </row>
    <row r="36">
      <c r="A36" s="42"/>
    </row>
    <row r="37">
      <c r="A37" s="41" t="s">
        <v>155</v>
      </c>
    </row>
    <row r="38">
      <c r="A38" s="41" t="s">
        <v>156</v>
      </c>
    </row>
    <row r="39">
      <c r="A39" s="41" t="s">
        <v>157</v>
      </c>
    </row>
    <row r="40">
      <c r="A40" s="41" t="s">
        <v>158</v>
      </c>
    </row>
    <row r="41">
      <c r="A41" s="41" t="s">
        <v>159</v>
      </c>
    </row>
    <row r="42">
      <c r="A42" s="41" t="s">
        <v>160</v>
      </c>
    </row>
    <row r="43">
      <c r="A43" s="41" t="s">
        <v>161</v>
      </c>
    </row>
    <row r="44">
      <c r="A44" s="41" t="s">
        <v>162</v>
      </c>
    </row>
    <row r="45">
      <c r="A45" s="42"/>
    </row>
    <row r="46">
      <c r="A46" s="41" t="s">
        <v>163</v>
      </c>
    </row>
    <row r="47">
      <c r="A47" s="42"/>
    </row>
    <row r="48">
      <c r="A48" s="41" t="s">
        <v>164</v>
      </c>
    </row>
    <row r="49">
      <c r="A49" s="41" t="s">
        <v>165</v>
      </c>
    </row>
    <row r="50">
      <c r="A50" s="41" t="s">
        <v>166</v>
      </c>
    </row>
    <row r="51">
      <c r="A51" s="41" t="s">
        <v>167</v>
      </c>
    </row>
    <row r="52">
      <c r="A52" s="42"/>
    </row>
    <row r="53">
      <c r="A53" s="41" t="s">
        <v>168</v>
      </c>
    </row>
    <row r="54">
      <c r="A54" s="42"/>
    </row>
    <row r="55">
      <c r="A55" s="41" t="s">
        <v>169</v>
      </c>
    </row>
    <row r="56">
      <c r="A56" s="41" t="s">
        <v>170</v>
      </c>
    </row>
    <row r="57">
      <c r="A57" s="42"/>
    </row>
    <row r="58">
      <c r="A58" s="41" t="s">
        <v>171</v>
      </c>
    </row>
    <row r="59">
      <c r="A59" s="42"/>
    </row>
    <row r="60">
      <c r="A60" s="41" t="s">
        <v>172</v>
      </c>
    </row>
    <row r="61">
      <c r="A61" s="42"/>
    </row>
    <row r="62">
      <c r="A62" s="41" t="s">
        <v>173</v>
      </c>
    </row>
    <row r="63">
      <c r="A63" s="42"/>
    </row>
    <row r="64">
      <c r="A64" s="41" t="s">
        <v>174</v>
      </c>
    </row>
    <row r="65">
      <c r="A65" s="41" t="s">
        <v>175</v>
      </c>
    </row>
    <row r="66">
      <c r="A66" s="41" t="s">
        <v>176</v>
      </c>
    </row>
    <row r="67">
      <c r="A67" s="41" t="s">
        <v>177</v>
      </c>
    </row>
    <row r="68">
      <c r="A68" s="41" t="s">
        <v>178</v>
      </c>
    </row>
    <row r="69">
      <c r="A69" s="41" t="s">
        <v>179</v>
      </c>
    </row>
    <row r="70">
      <c r="A70" s="41" t="s">
        <v>180</v>
      </c>
    </row>
    <row r="71">
      <c r="A71" s="41" t="s">
        <v>181</v>
      </c>
    </row>
    <row r="72">
      <c r="A72" s="41" t="s">
        <v>182</v>
      </c>
    </row>
    <row r="73">
      <c r="A73" s="41" t="s">
        <v>183</v>
      </c>
    </row>
    <row r="74">
      <c r="A74" s="41" t="s">
        <v>184</v>
      </c>
    </row>
    <row r="75">
      <c r="A75" s="41" t="s">
        <v>185</v>
      </c>
    </row>
    <row r="76">
      <c r="A76" s="42"/>
    </row>
    <row r="77">
      <c r="A77" s="41" t="s">
        <v>186</v>
      </c>
    </row>
    <row r="78">
      <c r="A78" s="42"/>
    </row>
    <row r="79">
      <c r="A79" s="41" t="s">
        <v>187</v>
      </c>
    </row>
    <row r="80">
      <c r="A80" s="41" t="s">
        <v>188</v>
      </c>
    </row>
    <row r="81">
      <c r="A81" s="42"/>
    </row>
    <row r="82">
      <c r="A82" s="41" t="s">
        <v>189</v>
      </c>
    </row>
    <row r="83">
      <c r="A83" s="42"/>
    </row>
    <row r="84">
      <c r="A84" s="41" t="s">
        <v>190</v>
      </c>
    </row>
    <row r="85">
      <c r="A85" s="41" t="s">
        <v>191</v>
      </c>
    </row>
    <row r="86">
      <c r="A86" s="42"/>
    </row>
    <row r="87">
      <c r="A87" s="41" t="s">
        <v>192</v>
      </c>
    </row>
    <row r="88">
      <c r="A88" s="42"/>
    </row>
    <row r="89">
      <c r="A89" s="41" t="s">
        <v>193</v>
      </c>
    </row>
    <row r="90">
      <c r="A90" s="41" t="s">
        <v>194</v>
      </c>
    </row>
    <row r="91">
      <c r="A91" s="41" t="s">
        <v>195</v>
      </c>
    </row>
    <row r="92">
      <c r="A92" s="41" t="s">
        <v>196</v>
      </c>
    </row>
    <row r="93">
      <c r="A93" s="41" t="s">
        <v>197</v>
      </c>
    </row>
    <row r="94">
      <c r="A94" s="42"/>
    </row>
    <row r="95">
      <c r="A95" s="41" t="s">
        <v>198</v>
      </c>
    </row>
    <row r="96">
      <c r="A96" s="42"/>
    </row>
    <row r="97">
      <c r="A97" s="41" t="s">
        <v>199</v>
      </c>
    </row>
    <row r="98">
      <c r="A98" s="41" t="s">
        <v>200</v>
      </c>
    </row>
    <row r="99">
      <c r="A99" s="41" t="s">
        <v>201</v>
      </c>
    </row>
    <row r="100">
      <c r="A100" s="42"/>
    </row>
    <row r="101">
      <c r="A101" s="41" t="s">
        <v>202</v>
      </c>
    </row>
  </sheetData>
  <autoFilter ref="$A$1:$M$29"/>
  <dataValidations>
    <dataValidation type="list" allowBlank="1" sqref="H29">
      <formula1>"Andy,Leo,Willy,Peter,Johnson"</formula1>
    </dataValidation>
    <dataValidation type="list" allowBlank="1" sqref="H2:H27">
      <formula1>"Andy,Leo,Willy,Peter,Johnson,Joanna"</formula1>
    </dataValidation>
    <dataValidation type="list" allowBlank="1" showErrorMessage="1" sqref="G2:G29">
      <formula1>"A.純包租,B.純代管,C.包租+代管,D.自有資產+包租,E.自有資產+代管,F.自有資產,G.仲介+代管,H.其他"</formula1>
    </dataValidation>
    <dataValidation type="list" allowBlank="1" showErrorMessage="1" sqref="B29">
      <formula1>"已完成,移交中,已通過待移交,免移交"</formula1>
    </dataValidation>
    <dataValidation type="list" allowBlank="1" sqref="H28">
      <formula1>"Andy,Leo,Mia,Peter,Vera,Johnson,Willy"</formula1>
    </dataValidation>
    <dataValidation type="list" allowBlank="1" showErrorMessage="1" sqref="F2:F27">
      <formula1>"客戶類型,A. 共生公寓,B. 包租代管,B. 包租代管-裝修,C. 旅館 ,D.仲介-連鎖,D. 仲介-地方,D. 仲介-跨國,E. 共享辦公室,F. 個人資產,G. 政府單位,H.保全樓管,I. 資產公司,J. 建設公司,K.其他"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203</v>
      </c>
    </row>
    <row r="2">
      <c r="A2" s="42"/>
    </row>
    <row r="3">
      <c r="A3" s="41" t="s">
        <v>204</v>
      </c>
    </row>
    <row r="4">
      <c r="A4" s="41" t="s">
        <v>205</v>
      </c>
    </row>
    <row r="5">
      <c r="A5" s="42"/>
    </row>
    <row r="6">
      <c r="A6" s="43" t="s">
        <v>206</v>
      </c>
    </row>
    <row r="7">
      <c r="A7" s="44"/>
    </row>
    <row r="8">
      <c r="A8" s="43" t="s">
        <v>207</v>
      </c>
    </row>
    <row r="9">
      <c r="A9" s="43" t="s">
        <v>208</v>
      </c>
    </row>
    <row r="10">
      <c r="A10" s="44"/>
    </row>
    <row r="11">
      <c r="A11" s="43" t="s">
        <v>209</v>
      </c>
    </row>
    <row r="12">
      <c r="A12" s="43" t="s">
        <v>210</v>
      </c>
    </row>
    <row r="13">
      <c r="A13" s="44"/>
    </row>
    <row r="14">
      <c r="A14" s="43" t="s">
        <v>211</v>
      </c>
    </row>
    <row r="15">
      <c r="A15" s="44"/>
    </row>
    <row r="16">
      <c r="A16" s="43" t="s">
        <v>212</v>
      </c>
    </row>
    <row r="17">
      <c r="A17" s="44"/>
    </row>
    <row r="18">
      <c r="A18" s="43" t="s">
        <v>213</v>
      </c>
    </row>
    <row r="19">
      <c r="A19" s="44"/>
    </row>
    <row r="20">
      <c r="A20" s="43" t="s">
        <v>214</v>
      </c>
    </row>
    <row r="21">
      <c r="A21" s="44"/>
    </row>
    <row r="22">
      <c r="A22" s="43" t="s">
        <v>215</v>
      </c>
    </row>
    <row r="23">
      <c r="A23" s="43" t="s">
        <v>216</v>
      </c>
    </row>
    <row r="24">
      <c r="A24" s="43" t="s">
        <v>217</v>
      </c>
    </row>
    <row r="25">
      <c r="A25" s="43" t="s">
        <v>218</v>
      </c>
    </row>
    <row r="26">
      <c r="A26" s="43" t="s">
        <v>219</v>
      </c>
    </row>
    <row r="27">
      <c r="A27" s="43" t="s">
        <v>220</v>
      </c>
    </row>
    <row r="28">
      <c r="A28" s="43" t="s">
        <v>221</v>
      </c>
    </row>
    <row r="29">
      <c r="A29" s="41" t="s">
        <v>222</v>
      </c>
    </row>
    <row r="30">
      <c r="A30" s="42"/>
    </row>
    <row r="31">
      <c r="A31" s="41" t="s">
        <v>223</v>
      </c>
    </row>
    <row r="32">
      <c r="A32" s="41" t="s">
        <v>224</v>
      </c>
    </row>
    <row r="33">
      <c r="A33" s="42"/>
    </row>
    <row r="34">
      <c r="A34" s="41" t="s">
        <v>225</v>
      </c>
    </row>
    <row r="35">
      <c r="A35" s="41" t="s">
        <v>226</v>
      </c>
    </row>
    <row r="36">
      <c r="A36" s="41" t="s">
        <v>227</v>
      </c>
    </row>
    <row r="37">
      <c r="A37" s="41" t="s">
        <v>228</v>
      </c>
    </row>
    <row r="38">
      <c r="A38" s="41" t="s">
        <v>229</v>
      </c>
    </row>
    <row r="39">
      <c r="A39" s="42"/>
    </row>
    <row r="40">
      <c r="A40" s="41" t="s">
        <v>230</v>
      </c>
    </row>
    <row r="41">
      <c r="A41" s="42"/>
    </row>
    <row r="42">
      <c r="A42" s="41" t="s">
        <v>231</v>
      </c>
    </row>
    <row r="43">
      <c r="A43" s="41" t="s">
        <v>232</v>
      </c>
    </row>
    <row r="44">
      <c r="A44" s="42"/>
    </row>
    <row r="45">
      <c r="A45" s="41" t="s">
        <v>233</v>
      </c>
    </row>
    <row r="46">
      <c r="A46" s="41" t="s">
        <v>234</v>
      </c>
    </row>
    <row r="47">
      <c r="A47" s="41" t="s">
        <v>235</v>
      </c>
    </row>
    <row r="48">
      <c r="A48" s="41" t="s">
        <v>236</v>
      </c>
    </row>
    <row r="49">
      <c r="A49" s="41" t="s">
        <v>237</v>
      </c>
    </row>
    <row r="50">
      <c r="A50" s="42"/>
    </row>
    <row r="51">
      <c r="A51" s="41" t="s">
        <v>238</v>
      </c>
    </row>
    <row r="52">
      <c r="A52" s="42"/>
    </row>
    <row r="53">
      <c r="A53" s="41" t="s">
        <v>239</v>
      </c>
    </row>
    <row r="54">
      <c r="A54" s="41" t="s">
        <v>240</v>
      </c>
    </row>
    <row r="55">
      <c r="A55" s="42"/>
    </row>
    <row r="56">
      <c r="A56" s="41" t="s">
        <v>241</v>
      </c>
    </row>
    <row r="57">
      <c r="A57" s="41" t="s">
        <v>242</v>
      </c>
    </row>
    <row r="58">
      <c r="A58" s="41" t="s">
        <v>243</v>
      </c>
    </row>
    <row r="59">
      <c r="A59" s="42"/>
    </row>
    <row r="60">
      <c r="A60" s="41" t="s">
        <v>244</v>
      </c>
    </row>
    <row r="61">
      <c r="A61" s="42"/>
    </row>
    <row r="62">
      <c r="A62" s="43" t="s">
        <v>245</v>
      </c>
    </row>
    <row r="63">
      <c r="A63" s="44"/>
    </row>
    <row r="64">
      <c r="A64" s="43" t="s">
        <v>246</v>
      </c>
    </row>
    <row r="65">
      <c r="A65" s="43" t="s">
        <v>247</v>
      </c>
    </row>
    <row r="66">
      <c r="A66" s="44"/>
    </row>
    <row r="67">
      <c r="A67" s="43" t="s">
        <v>248</v>
      </c>
    </row>
    <row r="68">
      <c r="A68" s="44"/>
    </row>
    <row r="69">
      <c r="A69" s="43" t="s">
        <v>249</v>
      </c>
    </row>
    <row r="70">
      <c r="A70" s="43" t="s">
        <v>250</v>
      </c>
    </row>
    <row r="71">
      <c r="A71" s="43" t="s">
        <v>251</v>
      </c>
    </row>
    <row r="72">
      <c r="A72" s="43" t="s">
        <v>252</v>
      </c>
    </row>
    <row r="73">
      <c r="A73" s="43" t="s">
        <v>253</v>
      </c>
    </row>
    <row r="74">
      <c r="A74" s="44"/>
    </row>
    <row r="75">
      <c r="A75" s="43" t="s">
        <v>254</v>
      </c>
    </row>
    <row r="76">
      <c r="A76" s="43" t="s">
        <v>255</v>
      </c>
    </row>
    <row r="77">
      <c r="A77" s="44"/>
    </row>
    <row r="78">
      <c r="A78" s="43" t="s">
        <v>256</v>
      </c>
    </row>
    <row r="79">
      <c r="A79" s="43" t="s">
        <v>257</v>
      </c>
    </row>
    <row r="80">
      <c r="A80" s="43" t="s">
        <v>258</v>
      </c>
    </row>
    <row r="81">
      <c r="A81" s="43" t="s">
        <v>259</v>
      </c>
    </row>
    <row r="82">
      <c r="A82" s="44"/>
    </row>
    <row r="83">
      <c r="A83" s="43" t="s">
        <v>260</v>
      </c>
    </row>
    <row r="84">
      <c r="A84" s="44"/>
    </row>
    <row r="85">
      <c r="A85" s="43" t="s">
        <v>261</v>
      </c>
    </row>
    <row r="86">
      <c r="A86" s="43" t="s">
        <v>262</v>
      </c>
    </row>
    <row r="87">
      <c r="A87" s="44"/>
    </row>
    <row r="88">
      <c r="A88" s="43" t="s">
        <v>263</v>
      </c>
    </row>
    <row r="89">
      <c r="A89" s="44"/>
    </row>
    <row r="90">
      <c r="A90" s="43" t="s">
        <v>264</v>
      </c>
    </row>
    <row r="91">
      <c r="A91" s="43" t="s">
        <v>265</v>
      </c>
    </row>
    <row r="92">
      <c r="A92" s="44"/>
    </row>
    <row r="93">
      <c r="A93" s="43" t="s">
        <v>266</v>
      </c>
    </row>
    <row r="94">
      <c r="A94" s="44"/>
    </row>
    <row r="95">
      <c r="A95" s="43" t="s">
        <v>267</v>
      </c>
    </row>
    <row r="96">
      <c r="A96" s="43" t="s">
        <v>268</v>
      </c>
    </row>
    <row r="97">
      <c r="A97" s="43" t="s">
        <v>269</v>
      </c>
    </row>
    <row r="98">
      <c r="A98" s="44"/>
    </row>
    <row r="99">
      <c r="A99" s="43" t="s">
        <v>270</v>
      </c>
    </row>
    <row r="100">
      <c r="A100" s="43" t="s">
        <v>271</v>
      </c>
    </row>
    <row r="101">
      <c r="A101" s="43" t="s">
        <v>272</v>
      </c>
    </row>
    <row r="102">
      <c r="A102" s="44"/>
    </row>
    <row r="103">
      <c r="A103" s="43" t="s">
        <v>273</v>
      </c>
    </row>
    <row r="104">
      <c r="A104" s="44"/>
    </row>
    <row r="105">
      <c r="A105" s="41" t="s">
        <v>274</v>
      </c>
    </row>
    <row r="106">
      <c r="A106" s="42"/>
    </row>
    <row r="107">
      <c r="A107" s="41" t="s">
        <v>275</v>
      </c>
    </row>
    <row r="108">
      <c r="A108" s="41" t="s">
        <v>276</v>
      </c>
    </row>
    <row r="109">
      <c r="A109" s="41" t="s">
        <v>277</v>
      </c>
    </row>
    <row r="110">
      <c r="A110" s="41" t="s">
        <v>278</v>
      </c>
    </row>
    <row r="111">
      <c r="A111" s="42"/>
    </row>
    <row r="112">
      <c r="A112" s="41" t="s">
        <v>279</v>
      </c>
    </row>
    <row r="113">
      <c r="A113" s="42"/>
    </row>
    <row r="114">
      <c r="A114" s="41" t="s">
        <v>280</v>
      </c>
    </row>
    <row r="115">
      <c r="A115" s="41" t="s">
        <v>281</v>
      </c>
    </row>
    <row r="116">
      <c r="A116" s="41" t="s">
        <v>282</v>
      </c>
    </row>
    <row r="117">
      <c r="A117" s="42"/>
    </row>
    <row r="118">
      <c r="A118" s="41" t="s">
        <v>283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5.13"/>
    <col customWidth="1" min="3" max="3" width="13.25"/>
    <col customWidth="1" min="4" max="4" width="14.75"/>
    <col customWidth="1" min="5" max="6" width="19.75"/>
    <col customWidth="1" min="7" max="7" width="27.13"/>
    <col customWidth="1" min="8" max="8" width="19.75"/>
    <col customWidth="1" min="9" max="9" width="9.38"/>
    <col customWidth="1" min="10" max="10" width="26.0"/>
    <col customWidth="1" min="11" max="11" width="14.25"/>
    <col customWidth="1" min="12" max="12" width="24.88"/>
    <col customWidth="1" min="13" max="13" width="28.13"/>
    <col customWidth="1" min="14" max="14" width="27.25"/>
    <col customWidth="1" min="15" max="15" width="32.88"/>
    <col customWidth="1" min="16" max="16" width="24.13"/>
    <col customWidth="1" min="17" max="17" width="26.25"/>
    <col customWidth="1" min="18" max="18" width="3.0"/>
    <col customWidth="1" min="19" max="19" width="20.13"/>
    <col customWidth="1" min="20" max="20" width="24.13"/>
    <col customWidth="1" min="21" max="21" width="22.88"/>
    <col customWidth="1" min="22" max="22" width="18.75"/>
    <col customWidth="1" min="23" max="23" width="24.38"/>
  </cols>
  <sheetData>
    <row r="1">
      <c r="A1" s="45" t="s">
        <v>284</v>
      </c>
      <c r="B1" s="46"/>
      <c r="C1" s="46"/>
      <c r="D1" s="46"/>
      <c r="E1" s="46"/>
      <c r="F1" s="47">
        <v>1.0</v>
      </c>
      <c r="G1" s="45"/>
      <c r="H1" s="47">
        <v>2.0</v>
      </c>
      <c r="I1" s="45"/>
      <c r="J1" s="47">
        <v>3.0</v>
      </c>
      <c r="K1" s="47">
        <v>4.0</v>
      </c>
      <c r="L1" s="48">
        <v>5.0</v>
      </c>
      <c r="M1" s="47">
        <v>6.0</v>
      </c>
      <c r="N1" s="47">
        <v>7.0</v>
      </c>
      <c r="O1" s="48">
        <v>8.0</v>
      </c>
      <c r="P1" s="47">
        <v>9.0</v>
      </c>
      <c r="Q1" s="48">
        <v>10.0</v>
      </c>
      <c r="R1" s="5"/>
      <c r="S1" s="48">
        <v>11.0</v>
      </c>
      <c r="T1" s="48">
        <v>12.0</v>
      </c>
      <c r="U1" s="48">
        <v>13.0</v>
      </c>
      <c r="V1" s="48">
        <v>14.0</v>
      </c>
      <c r="W1" s="48">
        <v>15.0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</row>
    <row r="2">
      <c r="A2" s="45" t="s">
        <v>285</v>
      </c>
      <c r="B2" s="46" t="s">
        <v>286</v>
      </c>
      <c r="C2" s="46" t="s">
        <v>287</v>
      </c>
      <c r="D2" s="46" t="s">
        <v>288</v>
      </c>
      <c r="E2" s="46" t="s">
        <v>289</v>
      </c>
      <c r="F2" s="47" t="s">
        <v>290</v>
      </c>
      <c r="G2" s="45" t="s">
        <v>285</v>
      </c>
      <c r="H2" s="47" t="s">
        <v>291</v>
      </c>
      <c r="I2" s="45"/>
      <c r="J2" s="47" t="s">
        <v>292</v>
      </c>
      <c r="K2" s="47" t="s">
        <v>293</v>
      </c>
      <c r="L2" s="48" t="s">
        <v>294</v>
      </c>
      <c r="M2" s="48" t="s">
        <v>295</v>
      </c>
      <c r="N2" s="48" t="s">
        <v>296</v>
      </c>
      <c r="O2" s="48" t="s">
        <v>297</v>
      </c>
      <c r="P2" s="48" t="s">
        <v>298</v>
      </c>
      <c r="Q2" s="48" t="s">
        <v>43</v>
      </c>
      <c r="R2" s="5"/>
      <c r="S2" s="48" t="s">
        <v>299</v>
      </c>
      <c r="T2" s="48" t="s">
        <v>300</v>
      </c>
      <c r="U2" s="48" t="s">
        <v>301</v>
      </c>
      <c r="V2" s="48" t="s">
        <v>302</v>
      </c>
      <c r="W2" s="48" t="s">
        <v>303</v>
      </c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>
      <c r="A3" s="49"/>
      <c r="B3" s="50"/>
      <c r="C3" s="50"/>
      <c r="D3" s="50"/>
      <c r="E3" s="50"/>
      <c r="F3" s="50" t="s">
        <v>304</v>
      </c>
      <c r="H3" s="50" t="s">
        <v>304</v>
      </c>
      <c r="I3" s="49"/>
      <c r="J3" s="50" t="s">
        <v>304</v>
      </c>
      <c r="K3" s="50" t="s">
        <v>305</v>
      </c>
      <c r="L3" s="50" t="s">
        <v>306</v>
      </c>
      <c r="M3" s="50" t="s">
        <v>306</v>
      </c>
      <c r="N3" s="50" t="s">
        <v>304</v>
      </c>
      <c r="O3" s="50" t="s">
        <v>304</v>
      </c>
      <c r="P3" s="51" t="s">
        <v>304</v>
      </c>
      <c r="Q3" s="51" t="s">
        <v>306</v>
      </c>
      <c r="R3" s="52"/>
      <c r="S3" s="51" t="s">
        <v>306</v>
      </c>
      <c r="T3" s="51" t="s">
        <v>306</v>
      </c>
      <c r="U3" s="51" t="s">
        <v>306</v>
      </c>
      <c r="V3" s="51" t="s">
        <v>304</v>
      </c>
      <c r="W3" s="51" t="s">
        <v>306</v>
      </c>
    </row>
    <row r="4">
      <c r="A4" s="49" t="s">
        <v>307</v>
      </c>
      <c r="B4" s="49"/>
      <c r="C4" s="49"/>
      <c r="D4" s="49"/>
      <c r="E4" s="49"/>
      <c r="F4" s="49" t="s">
        <v>308</v>
      </c>
      <c r="G4" s="49" t="s">
        <v>309</v>
      </c>
      <c r="H4" s="49" t="s">
        <v>310</v>
      </c>
      <c r="I4" s="49"/>
      <c r="J4" s="49" t="s">
        <v>311</v>
      </c>
      <c r="L4" s="49" t="s">
        <v>312</v>
      </c>
      <c r="M4" s="49" t="s">
        <v>313</v>
      </c>
      <c r="N4" s="49" t="s">
        <v>314</v>
      </c>
      <c r="O4" s="49" t="s">
        <v>315</v>
      </c>
      <c r="P4" s="52" t="s">
        <v>316</v>
      </c>
      <c r="Q4" s="52" t="s">
        <v>317</v>
      </c>
      <c r="R4" s="52"/>
      <c r="S4" s="52" t="s">
        <v>318</v>
      </c>
      <c r="T4" s="52" t="s">
        <v>318</v>
      </c>
      <c r="U4" s="52" t="s">
        <v>318</v>
      </c>
      <c r="V4" s="52" t="s">
        <v>316</v>
      </c>
      <c r="W4" s="52" t="s">
        <v>318</v>
      </c>
    </row>
    <row r="5">
      <c r="A5" s="49" t="s">
        <v>319</v>
      </c>
      <c r="B5" s="49"/>
      <c r="C5" s="49"/>
      <c r="D5" s="49"/>
      <c r="E5" s="49"/>
      <c r="F5" s="49" t="s">
        <v>320</v>
      </c>
      <c r="G5" s="49"/>
      <c r="H5" s="49" t="s">
        <v>321</v>
      </c>
      <c r="I5" s="49"/>
      <c r="J5" s="49" t="s">
        <v>322</v>
      </c>
      <c r="L5" s="49" t="s">
        <v>323</v>
      </c>
      <c r="M5" s="49" t="s">
        <v>324</v>
      </c>
      <c r="N5" s="49" t="s">
        <v>325</v>
      </c>
      <c r="O5" s="49" t="s">
        <v>326</v>
      </c>
      <c r="P5" s="52" t="s">
        <v>327</v>
      </c>
      <c r="Q5" s="52" t="s">
        <v>328</v>
      </c>
      <c r="R5" s="52"/>
      <c r="S5" s="52" t="s">
        <v>329</v>
      </c>
      <c r="T5" s="52" t="s">
        <v>330</v>
      </c>
      <c r="U5" s="52" t="s">
        <v>330</v>
      </c>
      <c r="V5" s="52" t="s">
        <v>327</v>
      </c>
      <c r="W5" s="52" t="s">
        <v>330</v>
      </c>
    </row>
    <row r="6">
      <c r="A6" s="49" t="s">
        <v>331</v>
      </c>
      <c r="B6" s="49"/>
      <c r="C6" s="49"/>
      <c r="D6" s="49"/>
      <c r="E6" s="49"/>
      <c r="F6" s="49" t="s">
        <v>332</v>
      </c>
      <c r="H6" s="49" t="s">
        <v>333</v>
      </c>
      <c r="I6" s="49"/>
      <c r="J6" s="49" t="s">
        <v>334</v>
      </c>
      <c r="L6" s="49" t="s">
        <v>335</v>
      </c>
      <c r="M6" s="49" t="s">
        <v>336</v>
      </c>
      <c r="N6" s="49" t="s">
        <v>337</v>
      </c>
      <c r="O6" s="49" t="s">
        <v>338</v>
      </c>
      <c r="P6" s="52" t="s">
        <v>339</v>
      </c>
      <c r="Q6" s="52" t="s">
        <v>340</v>
      </c>
      <c r="R6" s="52"/>
      <c r="S6" s="52" t="s">
        <v>341</v>
      </c>
      <c r="T6" s="52" t="s">
        <v>342</v>
      </c>
      <c r="U6" s="52" t="s">
        <v>342</v>
      </c>
      <c r="V6" s="52" t="s">
        <v>339</v>
      </c>
      <c r="W6" s="52" t="s">
        <v>342</v>
      </c>
    </row>
    <row r="7">
      <c r="A7" s="49" t="s">
        <v>343</v>
      </c>
      <c r="B7" s="49"/>
      <c r="C7" s="49"/>
      <c r="D7" s="49"/>
      <c r="E7" s="49"/>
      <c r="F7" s="49" t="s">
        <v>344</v>
      </c>
      <c r="H7" s="49" t="s">
        <v>345</v>
      </c>
      <c r="L7" s="49" t="s">
        <v>346</v>
      </c>
      <c r="M7" s="49" t="s">
        <v>347</v>
      </c>
      <c r="N7" s="49" t="s">
        <v>348</v>
      </c>
      <c r="O7" s="49" t="s">
        <v>349</v>
      </c>
      <c r="P7" s="49" t="s">
        <v>350</v>
      </c>
      <c r="Q7" s="49" t="s">
        <v>351</v>
      </c>
      <c r="R7" s="53"/>
      <c r="S7" s="52" t="s">
        <v>342</v>
      </c>
      <c r="T7" s="53"/>
      <c r="U7" s="53"/>
      <c r="V7" s="49" t="s">
        <v>350</v>
      </c>
    </row>
    <row r="8">
      <c r="A8" s="49" t="s">
        <v>352</v>
      </c>
      <c r="B8" s="49"/>
      <c r="C8" s="49"/>
      <c r="D8" s="49"/>
      <c r="E8" s="49"/>
      <c r="F8" s="49" t="s">
        <v>353</v>
      </c>
      <c r="H8" s="49" t="s">
        <v>354</v>
      </c>
      <c r="L8" s="49" t="s">
        <v>355</v>
      </c>
      <c r="M8" s="49" t="s">
        <v>356</v>
      </c>
      <c r="N8" s="49" t="s">
        <v>357</v>
      </c>
      <c r="P8" s="52" t="s">
        <v>358</v>
      </c>
      <c r="Q8" s="49" t="s">
        <v>359</v>
      </c>
      <c r="R8" s="53"/>
      <c r="S8" s="53"/>
      <c r="T8" s="53"/>
      <c r="U8" s="53"/>
      <c r="V8" s="52" t="s">
        <v>358</v>
      </c>
    </row>
    <row r="9">
      <c r="A9" s="49" t="s">
        <v>360</v>
      </c>
      <c r="B9" s="49"/>
      <c r="C9" s="49"/>
      <c r="D9" s="49"/>
      <c r="E9" s="49"/>
      <c r="F9" s="49" t="s">
        <v>361</v>
      </c>
      <c r="H9" s="49" t="s">
        <v>362</v>
      </c>
      <c r="L9" s="49" t="s">
        <v>363</v>
      </c>
      <c r="N9" s="49" t="s">
        <v>364</v>
      </c>
      <c r="P9" s="52" t="s">
        <v>365</v>
      </c>
      <c r="Q9" s="52" t="s">
        <v>342</v>
      </c>
      <c r="R9" s="53"/>
      <c r="S9" s="53"/>
      <c r="T9" s="53"/>
      <c r="U9" s="53"/>
      <c r="V9" s="52" t="s">
        <v>365</v>
      </c>
    </row>
    <row r="10">
      <c r="A10" s="49" t="s">
        <v>366</v>
      </c>
      <c r="B10" s="49"/>
      <c r="C10" s="49"/>
      <c r="D10" s="49"/>
      <c r="E10" s="49"/>
      <c r="F10" s="49" t="s">
        <v>367</v>
      </c>
      <c r="G10" s="49" t="s">
        <v>368</v>
      </c>
      <c r="H10" s="49" t="s">
        <v>369</v>
      </c>
      <c r="L10" s="49" t="s">
        <v>370</v>
      </c>
      <c r="P10" s="49" t="s">
        <v>371</v>
      </c>
      <c r="R10" s="53"/>
      <c r="S10" s="53"/>
      <c r="T10" s="53"/>
      <c r="U10" s="53"/>
      <c r="V10" s="49" t="s">
        <v>371</v>
      </c>
    </row>
    <row r="11">
      <c r="A11" s="49" t="s">
        <v>372</v>
      </c>
      <c r="B11" s="49"/>
      <c r="C11" s="49"/>
      <c r="D11" s="49"/>
      <c r="E11" s="49"/>
      <c r="F11" s="49" t="s">
        <v>373</v>
      </c>
      <c r="P11" s="52" t="s">
        <v>374</v>
      </c>
      <c r="R11" s="53"/>
      <c r="S11" s="53"/>
      <c r="T11" s="53"/>
      <c r="U11" s="53"/>
      <c r="V11" s="52" t="s">
        <v>374</v>
      </c>
    </row>
    <row r="12">
      <c r="A12" s="49" t="s">
        <v>375</v>
      </c>
      <c r="B12" s="49"/>
      <c r="C12" s="49"/>
      <c r="D12" s="49"/>
      <c r="E12" s="49"/>
      <c r="F12" s="49" t="s">
        <v>376</v>
      </c>
      <c r="P12" s="53"/>
      <c r="R12" s="53"/>
      <c r="S12" s="53"/>
      <c r="T12" s="53"/>
      <c r="U12" s="53"/>
    </row>
    <row r="13">
      <c r="A13" s="49" t="s">
        <v>377</v>
      </c>
      <c r="B13" s="49"/>
      <c r="C13" s="49"/>
      <c r="D13" s="49"/>
      <c r="E13" s="49"/>
      <c r="F13" s="49" t="s">
        <v>378</v>
      </c>
      <c r="N13" s="54"/>
      <c r="O13" s="54"/>
      <c r="P13" s="53"/>
      <c r="R13" s="53"/>
      <c r="S13" s="53"/>
      <c r="T13" s="53"/>
      <c r="U13" s="53"/>
    </row>
    <row r="14">
      <c r="A14" s="49" t="s">
        <v>379</v>
      </c>
      <c r="B14" s="49"/>
      <c r="C14" s="49"/>
      <c r="D14" s="49"/>
      <c r="E14" s="49"/>
      <c r="F14" s="49" t="s">
        <v>380</v>
      </c>
      <c r="G14" s="49"/>
      <c r="H14" s="49"/>
      <c r="I14" s="49"/>
      <c r="J14" s="49"/>
      <c r="L14" s="49"/>
      <c r="M14" s="49"/>
      <c r="P14" s="53"/>
      <c r="R14" s="53"/>
      <c r="S14" s="53"/>
      <c r="T14" s="53"/>
      <c r="U14" s="53"/>
    </row>
    <row r="15">
      <c r="B15" s="49"/>
      <c r="C15" s="49"/>
      <c r="D15" s="49"/>
      <c r="E15" s="49"/>
      <c r="F15" s="49"/>
      <c r="G15" s="49"/>
      <c r="H15" s="49"/>
      <c r="I15" s="49"/>
      <c r="J15" s="49"/>
      <c r="L15" s="49"/>
      <c r="M15" s="49"/>
      <c r="P15" s="53"/>
      <c r="R15" s="53"/>
      <c r="S15" s="53"/>
      <c r="T15" s="53"/>
      <c r="U15" s="53"/>
    </row>
    <row r="16">
      <c r="B16" s="49"/>
      <c r="C16" s="49"/>
      <c r="D16" s="49"/>
      <c r="E16" s="49"/>
      <c r="F16" s="49">
        <v>11.0</v>
      </c>
      <c r="G16" s="49"/>
      <c r="H16" s="49">
        <v>7.0</v>
      </c>
      <c r="I16" s="49"/>
      <c r="J16" s="49">
        <v>3.0</v>
      </c>
      <c r="L16" s="49">
        <v>7.0</v>
      </c>
      <c r="M16" s="49">
        <v>5.0</v>
      </c>
      <c r="P16" s="53"/>
      <c r="R16" s="53"/>
      <c r="S16" s="53"/>
      <c r="T16" s="53"/>
      <c r="U16" s="53"/>
    </row>
    <row r="17">
      <c r="F17" s="54" t="s">
        <v>381</v>
      </c>
      <c r="G17" s="55" t="s">
        <v>382</v>
      </c>
      <c r="P17" s="53"/>
      <c r="R17" s="53"/>
      <c r="S17" s="53"/>
      <c r="T17" s="53"/>
      <c r="U17" s="53"/>
    </row>
    <row r="18">
      <c r="F18" s="56">
        <f>F16*H16*J16*L16*M16</f>
        <v>8085</v>
      </c>
      <c r="P18" s="53"/>
      <c r="R18" s="53"/>
      <c r="S18" s="53"/>
      <c r="T18" s="53"/>
      <c r="U18" s="53"/>
    </row>
    <row r="19">
      <c r="P19" s="53"/>
      <c r="R19" s="53"/>
      <c r="S19" s="53"/>
      <c r="T19" s="53"/>
      <c r="U19" s="53"/>
    </row>
    <row r="20">
      <c r="P20" s="53"/>
      <c r="R20" s="53"/>
      <c r="S20" s="53"/>
      <c r="T20" s="53"/>
      <c r="U20" s="53"/>
    </row>
    <row r="21">
      <c r="P21" s="53"/>
      <c r="R21" s="53"/>
      <c r="S21" s="53"/>
      <c r="T21" s="53"/>
      <c r="U21" s="53"/>
    </row>
    <row r="22">
      <c r="P22" s="53"/>
      <c r="R22" s="53"/>
      <c r="S22" s="53"/>
      <c r="T22" s="53"/>
      <c r="U22" s="53"/>
    </row>
    <row r="23">
      <c r="P23" s="53"/>
      <c r="R23" s="53"/>
      <c r="S23" s="53"/>
      <c r="T23" s="53"/>
      <c r="U23" s="53"/>
    </row>
    <row r="24">
      <c r="P24" s="53"/>
      <c r="R24" s="53"/>
      <c r="S24" s="53"/>
      <c r="T24" s="53"/>
      <c r="U24" s="53"/>
    </row>
    <row r="25">
      <c r="P25" s="53"/>
      <c r="R25" s="53"/>
      <c r="S25" s="53"/>
      <c r="T25" s="53"/>
      <c r="U25" s="53"/>
    </row>
    <row r="26">
      <c r="P26" s="53"/>
      <c r="R26" s="53"/>
      <c r="S26" s="53"/>
      <c r="T26" s="53"/>
      <c r="U26" s="53"/>
    </row>
    <row r="27">
      <c r="P27" s="53"/>
      <c r="R27" s="53"/>
      <c r="S27" s="53"/>
      <c r="T27" s="53"/>
      <c r="U27" s="53"/>
    </row>
    <row r="28">
      <c r="P28" s="53"/>
      <c r="R28" s="53"/>
      <c r="S28" s="53"/>
      <c r="T28" s="53"/>
      <c r="U28" s="53"/>
    </row>
    <row r="29">
      <c r="P29" s="53"/>
      <c r="R29" s="53"/>
      <c r="S29" s="53"/>
      <c r="T29" s="53"/>
      <c r="U29" s="53"/>
    </row>
    <row r="30">
      <c r="P30" s="53"/>
      <c r="R30" s="53"/>
      <c r="S30" s="53"/>
      <c r="T30" s="53"/>
      <c r="U30" s="53"/>
    </row>
    <row r="31">
      <c r="P31" s="53"/>
      <c r="R31" s="53"/>
      <c r="S31" s="53"/>
      <c r="T31" s="53"/>
      <c r="U31" s="53"/>
    </row>
    <row r="32">
      <c r="P32" s="53"/>
      <c r="R32" s="53"/>
      <c r="S32" s="53"/>
      <c r="T32" s="53"/>
      <c r="U32" s="53"/>
    </row>
    <row r="33">
      <c r="P33" s="53"/>
      <c r="R33" s="53"/>
      <c r="S33" s="53"/>
      <c r="T33" s="53"/>
      <c r="U33" s="53"/>
    </row>
    <row r="34">
      <c r="P34" s="53"/>
      <c r="R34" s="53"/>
      <c r="S34" s="53"/>
      <c r="T34" s="53"/>
      <c r="U34" s="53"/>
    </row>
    <row r="35">
      <c r="P35" s="53"/>
      <c r="R35" s="53"/>
      <c r="S35" s="53"/>
      <c r="T35" s="53"/>
      <c r="U35" s="53"/>
    </row>
    <row r="36">
      <c r="P36" s="53"/>
      <c r="R36" s="53"/>
      <c r="S36" s="53"/>
      <c r="T36" s="53"/>
      <c r="U36" s="53"/>
    </row>
    <row r="37">
      <c r="P37" s="53"/>
      <c r="R37" s="53"/>
      <c r="S37" s="53"/>
      <c r="T37" s="53"/>
      <c r="U37" s="53"/>
    </row>
    <row r="38">
      <c r="P38" s="53"/>
      <c r="R38" s="53"/>
      <c r="S38" s="53"/>
      <c r="T38" s="53"/>
      <c r="U38" s="53"/>
    </row>
    <row r="39">
      <c r="P39" s="53"/>
      <c r="R39" s="53"/>
      <c r="S39" s="53"/>
      <c r="T39" s="53"/>
      <c r="U39" s="53"/>
    </row>
    <row r="40">
      <c r="P40" s="53"/>
      <c r="R40" s="53"/>
      <c r="S40" s="53"/>
      <c r="T40" s="53"/>
      <c r="U40" s="53"/>
    </row>
    <row r="41">
      <c r="P41" s="53"/>
      <c r="R41" s="53"/>
      <c r="S41" s="53"/>
      <c r="T41" s="53"/>
      <c r="U41" s="53"/>
    </row>
    <row r="42">
      <c r="P42" s="53"/>
      <c r="R42" s="53"/>
      <c r="S42" s="53"/>
      <c r="T42" s="53"/>
      <c r="U42" s="53"/>
    </row>
    <row r="43">
      <c r="P43" s="53"/>
      <c r="R43" s="53"/>
      <c r="S43" s="53"/>
      <c r="T43" s="53"/>
      <c r="U43" s="53"/>
    </row>
    <row r="44">
      <c r="P44" s="53"/>
      <c r="R44" s="53"/>
      <c r="S44" s="53"/>
      <c r="T44" s="53"/>
      <c r="U44" s="53"/>
    </row>
    <row r="45">
      <c r="P45" s="53"/>
      <c r="R45" s="53"/>
      <c r="S45" s="53"/>
      <c r="T45" s="53"/>
      <c r="U45" s="53"/>
    </row>
    <row r="46">
      <c r="P46" s="53"/>
      <c r="R46" s="53"/>
      <c r="S46" s="53"/>
      <c r="T46" s="53"/>
      <c r="U46" s="53"/>
    </row>
    <row r="47">
      <c r="P47" s="53"/>
      <c r="R47" s="53"/>
      <c r="S47" s="53"/>
      <c r="T47" s="53"/>
      <c r="U47" s="53"/>
    </row>
    <row r="48">
      <c r="P48" s="53"/>
      <c r="R48" s="53"/>
      <c r="S48" s="53"/>
      <c r="T48" s="53"/>
      <c r="U48" s="53"/>
    </row>
    <row r="49">
      <c r="P49" s="53"/>
      <c r="R49" s="53"/>
      <c r="S49" s="53"/>
      <c r="T49" s="53"/>
      <c r="U49" s="53"/>
    </row>
    <row r="50">
      <c r="P50" s="53"/>
      <c r="R50" s="53"/>
      <c r="S50" s="53"/>
      <c r="T50" s="53"/>
      <c r="U50" s="53"/>
    </row>
    <row r="51">
      <c r="P51" s="53"/>
      <c r="R51" s="53"/>
      <c r="S51" s="53"/>
      <c r="T51" s="53"/>
      <c r="U51" s="53"/>
    </row>
    <row r="52">
      <c r="P52" s="53"/>
      <c r="R52" s="53"/>
      <c r="S52" s="53"/>
      <c r="T52" s="53"/>
      <c r="U52" s="53"/>
    </row>
    <row r="53">
      <c r="P53" s="53"/>
      <c r="R53" s="53"/>
      <c r="S53" s="53"/>
      <c r="T53" s="53"/>
      <c r="U53" s="53"/>
    </row>
    <row r="54">
      <c r="P54" s="53"/>
      <c r="R54" s="53"/>
      <c r="S54" s="53"/>
      <c r="T54" s="53"/>
      <c r="U54" s="53"/>
    </row>
    <row r="55">
      <c r="P55" s="53"/>
      <c r="R55" s="53"/>
      <c r="S55" s="53"/>
      <c r="T55" s="53"/>
      <c r="U55" s="53"/>
    </row>
    <row r="56">
      <c r="P56" s="53"/>
      <c r="R56" s="53"/>
      <c r="S56" s="53"/>
      <c r="T56" s="53"/>
      <c r="U56" s="53"/>
    </row>
    <row r="57">
      <c r="P57" s="53"/>
      <c r="R57" s="53"/>
      <c r="S57" s="53"/>
      <c r="T57" s="53"/>
      <c r="U57" s="53"/>
    </row>
    <row r="58">
      <c r="P58" s="53"/>
      <c r="R58" s="53"/>
      <c r="S58" s="53"/>
      <c r="T58" s="53"/>
      <c r="U58" s="53"/>
    </row>
    <row r="59">
      <c r="P59" s="53"/>
      <c r="R59" s="53"/>
      <c r="S59" s="53"/>
      <c r="T59" s="53"/>
      <c r="U59" s="53"/>
    </row>
    <row r="60">
      <c r="P60" s="53"/>
      <c r="R60" s="53"/>
      <c r="S60" s="53"/>
      <c r="T60" s="53"/>
      <c r="U60" s="53"/>
    </row>
    <row r="61">
      <c r="P61" s="53"/>
      <c r="R61" s="53"/>
      <c r="S61" s="53"/>
      <c r="T61" s="53"/>
      <c r="U61" s="53"/>
    </row>
    <row r="62">
      <c r="P62" s="53"/>
      <c r="R62" s="53"/>
      <c r="S62" s="53"/>
      <c r="T62" s="53"/>
      <c r="U62" s="53"/>
    </row>
    <row r="63">
      <c r="P63" s="53"/>
      <c r="R63" s="53"/>
      <c r="S63" s="53"/>
      <c r="T63" s="53"/>
      <c r="U63" s="53"/>
    </row>
    <row r="64">
      <c r="P64" s="53"/>
      <c r="R64" s="53"/>
      <c r="S64" s="53"/>
      <c r="T64" s="53"/>
      <c r="U64" s="53"/>
    </row>
    <row r="65">
      <c r="P65" s="53"/>
      <c r="R65" s="53"/>
      <c r="S65" s="53"/>
      <c r="T65" s="53"/>
      <c r="U65" s="53"/>
    </row>
    <row r="66">
      <c r="P66" s="53"/>
      <c r="R66" s="53"/>
      <c r="S66" s="53"/>
      <c r="T66" s="53"/>
      <c r="U66" s="53"/>
    </row>
    <row r="67">
      <c r="P67" s="53"/>
      <c r="R67" s="53"/>
      <c r="S67" s="53"/>
      <c r="T67" s="53"/>
      <c r="U67" s="53"/>
    </row>
    <row r="68">
      <c r="P68" s="53"/>
      <c r="R68" s="53"/>
      <c r="S68" s="53"/>
      <c r="T68" s="53"/>
      <c r="U68" s="53"/>
    </row>
    <row r="69">
      <c r="P69" s="53"/>
      <c r="R69" s="53"/>
      <c r="S69" s="53"/>
      <c r="T69" s="53"/>
      <c r="U69" s="53"/>
    </row>
    <row r="70">
      <c r="P70" s="53"/>
      <c r="R70" s="53"/>
      <c r="S70" s="53"/>
      <c r="T70" s="53"/>
      <c r="U70" s="53"/>
    </row>
    <row r="71">
      <c r="P71" s="53"/>
      <c r="R71" s="53"/>
      <c r="S71" s="53"/>
      <c r="T71" s="53"/>
      <c r="U71" s="53"/>
    </row>
    <row r="72">
      <c r="P72" s="53"/>
      <c r="R72" s="53"/>
      <c r="S72" s="53"/>
      <c r="T72" s="53"/>
      <c r="U72" s="53"/>
    </row>
    <row r="73">
      <c r="P73" s="53"/>
      <c r="R73" s="53"/>
      <c r="S73" s="53"/>
      <c r="T73" s="53"/>
      <c r="U73" s="53"/>
    </row>
    <row r="74">
      <c r="P74" s="53"/>
      <c r="R74" s="53"/>
      <c r="S74" s="53"/>
      <c r="T74" s="53"/>
      <c r="U74" s="53"/>
    </row>
    <row r="75">
      <c r="P75" s="53"/>
      <c r="R75" s="53"/>
      <c r="S75" s="53"/>
      <c r="T75" s="53"/>
      <c r="U75" s="53"/>
    </row>
    <row r="76">
      <c r="P76" s="53"/>
      <c r="R76" s="53"/>
      <c r="S76" s="53"/>
      <c r="T76" s="53"/>
      <c r="U76" s="53"/>
    </row>
    <row r="77">
      <c r="P77" s="53"/>
      <c r="R77" s="53"/>
      <c r="S77" s="53"/>
      <c r="T77" s="53"/>
      <c r="U77" s="53"/>
    </row>
    <row r="78">
      <c r="P78" s="53"/>
      <c r="R78" s="53"/>
      <c r="S78" s="53"/>
      <c r="T78" s="53"/>
      <c r="U78" s="53"/>
    </row>
    <row r="79">
      <c r="P79" s="53"/>
      <c r="R79" s="53"/>
      <c r="S79" s="53"/>
      <c r="T79" s="53"/>
      <c r="U79" s="53"/>
    </row>
    <row r="80">
      <c r="P80" s="53"/>
      <c r="R80" s="53"/>
      <c r="S80" s="53"/>
      <c r="T80" s="53"/>
      <c r="U80" s="53"/>
    </row>
    <row r="81">
      <c r="P81" s="53"/>
      <c r="R81" s="53"/>
      <c r="S81" s="53"/>
      <c r="T81" s="53"/>
      <c r="U81" s="53"/>
    </row>
    <row r="82">
      <c r="P82" s="53"/>
      <c r="R82" s="53"/>
      <c r="S82" s="53"/>
      <c r="T82" s="53"/>
      <c r="U82" s="53"/>
    </row>
    <row r="83">
      <c r="P83" s="53"/>
      <c r="R83" s="53"/>
      <c r="S83" s="53"/>
      <c r="T83" s="53"/>
      <c r="U83" s="53"/>
    </row>
    <row r="84">
      <c r="P84" s="53"/>
      <c r="R84" s="53"/>
      <c r="S84" s="53"/>
      <c r="T84" s="53"/>
      <c r="U84" s="53"/>
    </row>
    <row r="85">
      <c r="P85" s="53"/>
      <c r="R85" s="53"/>
      <c r="S85" s="53"/>
      <c r="T85" s="53"/>
      <c r="U85" s="53"/>
    </row>
    <row r="86">
      <c r="P86" s="53"/>
      <c r="R86" s="53"/>
      <c r="S86" s="53"/>
      <c r="T86" s="53"/>
      <c r="U86" s="53"/>
    </row>
    <row r="87">
      <c r="P87" s="53"/>
      <c r="R87" s="53"/>
      <c r="S87" s="53"/>
      <c r="T87" s="53"/>
      <c r="U87" s="53"/>
    </row>
    <row r="88">
      <c r="P88" s="53"/>
      <c r="R88" s="53"/>
      <c r="S88" s="53"/>
      <c r="T88" s="53"/>
      <c r="U88" s="53"/>
    </row>
    <row r="89">
      <c r="P89" s="53"/>
      <c r="R89" s="53"/>
      <c r="S89" s="53"/>
      <c r="T89" s="53"/>
      <c r="U89" s="53"/>
    </row>
    <row r="90">
      <c r="P90" s="53"/>
      <c r="R90" s="53"/>
      <c r="S90" s="53"/>
      <c r="T90" s="53"/>
      <c r="U90" s="53"/>
    </row>
    <row r="91">
      <c r="P91" s="53"/>
      <c r="R91" s="53"/>
      <c r="S91" s="53"/>
      <c r="T91" s="53"/>
      <c r="U91" s="53"/>
    </row>
    <row r="92">
      <c r="P92" s="53"/>
      <c r="R92" s="53"/>
      <c r="S92" s="53"/>
      <c r="T92" s="53"/>
      <c r="U92" s="53"/>
    </row>
    <row r="93">
      <c r="P93" s="53"/>
      <c r="R93" s="53"/>
      <c r="S93" s="53"/>
      <c r="T93" s="53"/>
      <c r="U93" s="53"/>
    </row>
    <row r="94">
      <c r="P94" s="53"/>
      <c r="R94" s="53"/>
      <c r="S94" s="53"/>
      <c r="T94" s="53"/>
      <c r="U94" s="53"/>
    </row>
    <row r="95">
      <c r="P95" s="53"/>
      <c r="R95" s="53"/>
      <c r="S95" s="53"/>
      <c r="T95" s="53"/>
      <c r="U95" s="53"/>
    </row>
    <row r="96">
      <c r="P96" s="53"/>
      <c r="R96" s="53"/>
      <c r="S96" s="53"/>
      <c r="T96" s="53"/>
      <c r="U96" s="53"/>
    </row>
    <row r="97">
      <c r="P97" s="53"/>
      <c r="R97" s="53"/>
      <c r="S97" s="53"/>
      <c r="T97" s="53"/>
      <c r="U97" s="53"/>
    </row>
    <row r="98">
      <c r="P98" s="53"/>
      <c r="R98" s="53"/>
      <c r="S98" s="53"/>
      <c r="T98" s="53"/>
      <c r="U98" s="53"/>
    </row>
    <row r="99">
      <c r="P99" s="53"/>
      <c r="R99" s="53"/>
      <c r="S99" s="53"/>
      <c r="T99" s="53"/>
      <c r="U99" s="53"/>
    </row>
    <row r="100">
      <c r="P100" s="53"/>
      <c r="R100" s="53"/>
      <c r="S100" s="53"/>
      <c r="T100" s="53"/>
      <c r="U100" s="53"/>
    </row>
    <row r="101">
      <c r="P101" s="53"/>
      <c r="R101" s="53"/>
      <c r="S101" s="53"/>
      <c r="T101" s="53"/>
      <c r="U101" s="53"/>
    </row>
    <row r="102">
      <c r="P102" s="53"/>
      <c r="R102" s="53"/>
      <c r="S102" s="53"/>
      <c r="T102" s="53"/>
      <c r="U102" s="53"/>
    </row>
    <row r="103">
      <c r="P103" s="53"/>
      <c r="R103" s="53"/>
      <c r="S103" s="53"/>
      <c r="T103" s="53"/>
      <c r="U103" s="53"/>
    </row>
    <row r="104">
      <c r="P104" s="53"/>
      <c r="R104" s="53"/>
      <c r="S104" s="53"/>
      <c r="T104" s="53"/>
      <c r="U104" s="53"/>
    </row>
    <row r="105">
      <c r="P105" s="53"/>
      <c r="R105" s="53"/>
      <c r="S105" s="53"/>
      <c r="T105" s="53"/>
      <c r="U105" s="53"/>
    </row>
    <row r="106">
      <c r="P106" s="53"/>
      <c r="R106" s="53"/>
      <c r="S106" s="53"/>
      <c r="T106" s="53"/>
      <c r="U106" s="53"/>
    </row>
    <row r="107">
      <c r="P107" s="53"/>
      <c r="R107" s="53"/>
      <c r="S107" s="53"/>
      <c r="T107" s="53"/>
      <c r="U107" s="53"/>
    </row>
    <row r="108">
      <c r="P108" s="53"/>
      <c r="R108" s="53"/>
      <c r="S108" s="53"/>
      <c r="T108" s="53"/>
      <c r="U108" s="53"/>
    </row>
    <row r="109">
      <c r="P109" s="53"/>
      <c r="R109" s="53"/>
      <c r="S109" s="53"/>
      <c r="T109" s="53"/>
      <c r="U109" s="53"/>
    </row>
    <row r="110">
      <c r="P110" s="53"/>
      <c r="R110" s="53"/>
      <c r="S110" s="53"/>
      <c r="T110" s="53"/>
      <c r="U110" s="53"/>
    </row>
    <row r="111">
      <c r="P111" s="53"/>
      <c r="R111" s="53"/>
      <c r="S111" s="53"/>
      <c r="T111" s="53"/>
      <c r="U111" s="53"/>
    </row>
    <row r="112">
      <c r="P112" s="53"/>
      <c r="R112" s="53"/>
      <c r="S112" s="53"/>
      <c r="T112" s="53"/>
      <c r="U112" s="53"/>
    </row>
    <row r="113">
      <c r="P113" s="53"/>
      <c r="R113" s="53"/>
      <c r="S113" s="53"/>
      <c r="T113" s="53"/>
      <c r="U113" s="53"/>
    </row>
    <row r="114">
      <c r="P114" s="53"/>
      <c r="R114" s="53"/>
      <c r="S114" s="53"/>
      <c r="T114" s="53"/>
      <c r="U114" s="53"/>
    </row>
    <row r="115">
      <c r="P115" s="53"/>
      <c r="R115" s="53"/>
      <c r="S115" s="53"/>
      <c r="T115" s="53"/>
      <c r="U115" s="53"/>
    </row>
    <row r="116">
      <c r="P116" s="53"/>
      <c r="R116" s="53"/>
      <c r="S116" s="53"/>
      <c r="T116" s="53"/>
      <c r="U116" s="53"/>
    </row>
    <row r="117">
      <c r="P117" s="53"/>
      <c r="R117" s="53"/>
      <c r="S117" s="53"/>
      <c r="T117" s="53"/>
      <c r="U117" s="53"/>
    </row>
    <row r="118">
      <c r="P118" s="53"/>
      <c r="R118" s="53"/>
      <c r="S118" s="53"/>
      <c r="T118" s="53"/>
      <c r="U118" s="53"/>
    </row>
    <row r="119">
      <c r="P119" s="53"/>
      <c r="R119" s="53"/>
      <c r="S119" s="53"/>
      <c r="T119" s="53"/>
      <c r="U119" s="53"/>
    </row>
    <row r="120">
      <c r="P120" s="53"/>
      <c r="R120" s="53"/>
      <c r="S120" s="53"/>
      <c r="T120" s="53"/>
      <c r="U120" s="53"/>
    </row>
    <row r="121">
      <c r="P121" s="53"/>
      <c r="R121" s="53"/>
      <c r="S121" s="53"/>
      <c r="T121" s="53"/>
      <c r="U121" s="53"/>
    </row>
    <row r="122">
      <c r="P122" s="53"/>
      <c r="R122" s="53"/>
      <c r="S122" s="53"/>
      <c r="T122" s="53"/>
      <c r="U122" s="53"/>
    </row>
    <row r="123">
      <c r="P123" s="53"/>
      <c r="R123" s="53"/>
      <c r="S123" s="53"/>
      <c r="T123" s="53"/>
      <c r="U123" s="53"/>
    </row>
    <row r="124">
      <c r="P124" s="53"/>
      <c r="R124" s="53"/>
      <c r="S124" s="53"/>
      <c r="T124" s="53"/>
      <c r="U124" s="53"/>
    </row>
    <row r="125">
      <c r="P125" s="53"/>
      <c r="R125" s="53"/>
      <c r="S125" s="53"/>
      <c r="T125" s="53"/>
      <c r="U125" s="53"/>
    </row>
    <row r="126">
      <c r="P126" s="53"/>
      <c r="R126" s="53"/>
      <c r="S126" s="53"/>
      <c r="T126" s="53"/>
      <c r="U126" s="53"/>
    </row>
    <row r="127">
      <c r="P127" s="53"/>
      <c r="R127" s="53"/>
      <c r="S127" s="53"/>
      <c r="T127" s="53"/>
      <c r="U127" s="53"/>
    </row>
    <row r="128">
      <c r="P128" s="53"/>
      <c r="R128" s="53"/>
      <c r="S128" s="53"/>
      <c r="T128" s="53"/>
      <c r="U128" s="53"/>
    </row>
    <row r="129">
      <c r="P129" s="53"/>
      <c r="R129" s="53"/>
      <c r="S129" s="53"/>
      <c r="T129" s="53"/>
      <c r="U129" s="53"/>
    </row>
    <row r="130">
      <c r="P130" s="53"/>
      <c r="R130" s="53"/>
      <c r="S130" s="53"/>
      <c r="T130" s="53"/>
      <c r="U130" s="53"/>
    </row>
    <row r="131">
      <c r="P131" s="53"/>
      <c r="R131" s="53"/>
      <c r="S131" s="53"/>
      <c r="T131" s="53"/>
      <c r="U131" s="53"/>
    </row>
    <row r="132">
      <c r="P132" s="53"/>
      <c r="R132" s="53"/>
      <c r="S132" s="53"/>
      <c r="T132" s="53"/>
      <c r="U132" s="53"/>
    </row>
    <row r="133">
      <c r="P133" s="53"/>
      <c r="R133" s="53"/>
      <c r="S133" s="53"/>
      <c r="T133" s="53"/>
      <c r="U133" s="53"/>
    </row>
    <row r="134">
      <c r="P134" s="53"/>
      <c r="R134" s="53"/>
      <c r="S134" s="53"/>
      <c r="T134" s="53"/>
      <c r="U134" s="53"/>
    </row>
    <row r="135">
      <c r="P135" s="53"/>
      <c r="R135" s="53"/>
      <c r="S135" s="53"/>
      <c r="T135" s="53"/>
      <c r="U135" s="53"/>
    </row>
    <row r="136">
      <c r="P136" s="53"/>
      <c r="R136" s="53"/>
      <c r="S136" s="53"/>
      <c r="T136" s="53"/>
      <c r="U136" s="53"/>
    </row>
    <row r="137">
      <c r="P137" s="53"/>
      <c r="R137" s="53"/>
      <c r="S137" s="53"/>
      <c r="T137" s="53"/>
      <c r="U137" s="53"/>
    </row>
    <row r="138">
      <c r="P138" s="53"/>
      <c r="R138" s="53"/>
      <c r="S138" s="53"/>
      <c r="T138" s="53"/>
      <c r="U138" s="53"/>
    </row>
    <row r="139">
      <c r="P139" s="53"/>
      <c r="R139" s="53"/>
      <c r="S139" s="53"/>
      <c r="T139" s="53"/>
      <c r="U139" s="53"/>
    </row>
    <row r="140">
      <c r="P140" s="53"/>
      <c r="R140" s="53"/>
      <c r="S140" s="53"/>
      <c r="T140" s="53"/>
      <c r="U140" s="53"/>
    </row>
    <row r="141">
      <c r="P141" s="53"/>
      <c r="R141" s="53"/>
      <c r="S141" s="53"/>
      <c r="T141" s="53"/>
      <c r="U141" s="53"/>
    </row>
    <row r="142">
      <c r="P142" s="53"/>
      <c r="R142" s="53"/>
      <c r="S142" s="53"/>
      <c r="T142" s="53"/>
      <c r="U142" s="53"/>
    </row>
    <row r="143">
      <c r="P143" s="53"/>
      <c r="R143" s="53"/>
      <c r="S143" s="53"/>
      <c r="T143" s="53"/>
      <c r="U143" s="53"/>
    </row>
    <row r="144">
      <c r="P144" s="53"/>
      <c r="R144" s="53"/>
      <c r="S144" s="53"/>
      <c r="T144" s="53"/>
      <c r="U144" s="53"/>
    </row>
    <row r="145">
      <c r="P145" s="53"/>
      <c r="R145" s="53"/>
      <c r="S145" s="53"/>
      <c r="T145" s="53"/>
      <c r="U145" s="53"/>
    </row>
    <row r="146">
      <c r="P146" s="53"/>
      <c r="R146" s="53"/>
      <c r="S146" s="53"/>
      <c r="T146" s="53"/>
      <c r="U146" s="53"/>
    </row>
    <row r="147">
      <c r="P147" s="53"/>
      <c r="R147" s="53"/>
      <c r="S147" s="53"/>
      <c r="T147" s="53"/>
      <c r="U147" s="53"/>
    </row>
    <row r="148">
      <c r="P148" s="53"/>
      <c r="R148" s="53"/>
      <c r="S148" s="53"/>
      <c r="T148" s="53"/>
      <c r="U148" s="53"/>
    </row>
    <row r="149">
      <c r="P149" s="53"/>
      <c r="R149" s="53"/>
      <c r="S149" s="53"/>
      <c r="T149" s="53"/>
      <c r="U149" s="53"/>
    </row>
    <row r="150">
      <c r="P150" s="53"/>
      <c r="R150" s="53"/>
      <c r="S150" s="53"/>
      <c r="T150" s="53"/>
      <c r="U150" s="53"/>
    </row>
    <row r="151">
      <c r="P151" s="53"/>
      <c r="R151" s="53"/>
      <c r="S151" s="53"/>
      <c r="T151" s="53"/>
      <c r="U151" s="53"/>
    </row>
    <row r="152">
      <c r="P152" s="53"/>
      <c r="R152" s="53"/>
      <c r="S152" s="53"/>
      <c r="T152" s="53"/>
      <c r="U152" s="53"/>
    </row>
    <row r="153">
      <c r="P153" s="53"/>
      <c r="R153" s="53"/>
      <c r="S153" s="53"/>
      <c r="T153" s="53"/>
      <c r="U153" s="53"/>
    </row>
    <row r="154">
      <c r="P154" s="53"/>
      <c r="R154" s="53"/>
      <c r="S154" s="53"/>
      <c r="T154" s="53"/>
      <c r="U154" s="53"/>
    </row>
    <row r="155">
      <c r="P155" s="53"/>
      <c r="R155" s="53"/>
      <c r="S155" s="53"/>
      <c r="T155" s="53"/>
      <c r="U155" s="53"/>
    </row>
    <row r="156">
      <c r="P156" s="53"/>
      <c r="R156" s="53"/>
      <c r="S156" s="53"/>
      <c r="T156" s="53"/>
      <c r="U156" s="53"/>
    </row>
    <row r="157">
      <c r="P157" s="53"/>
      <c r="R157" s="53"/>
      <c r="S157" s="53"/>
      <c r="T157" s="53"/>
      <c r="U157" s="53"/>
    </row>
    <row r="158">
      <c r="P158" s="53"/>
      <c r="R158" s="53"/>
      <c r="S158" s="53"/>
      <c r="T158" s="53"/>
      <c r="U158" s="53"/>
    </row>
    <row r="159">
      <c r="P159" s="53"/>
      <c r="R159" s="53"/>
      <c r="S159" s="53"/>
      <c r="T159" s="53"/>
      <c r="U159" s="53"/>
    </row>
    <row r="160">
      <c r="P160" s="53"/>
      <c r="R160" s="53"/>
      <c r="S160" s="53"/>
      <c r="T160" s="53"/>
      <c r="U160" s="53"/>
    </row>
    <row r="161">
      <c r="P161" s="53"/>
      <c r="R161" s="53"/>
      <c r="S161" s="53"/>
      <c r="T161" s="53"/>
      <c r="U161" s="53"/>
    </row>
    <row r="162">
      <c r="P162" s="53"/>
      <c r="R162" s="53"/>
      <c r="S162" s="53"/>
      <c r="T162" s="53"/>
      <c r="U162" s="53"/>
    </row>
    <row r="163">
      <c r="P163" s="53"/>
      <c r="R163" s="53"/>
      <c r="S163" s="53"/>
      <c r="T163" s="53"/>
      <c r="U163" s="53"/>
    </row>
    <row r="164">
      <c r="P164" s="53"/>
      <c r="R164" s="53"/>
      <c r="S164" s="53"/>
      <c r="T164" s="53"/>
      <c r="U164" s="53"/>
    </row>
    <row r="165">
      <c r="P165" s="53"/>
      <c r="R165" s="53"/>
      <c r="S165" s="53"/>
      <c r="T165" s="53"/>
      <c r="U165" s="53"/>
    </row>
    <row r="166">
      <c r="P166" s="53"/>
      <c r="R166" s="53"/>
      <c r="S166" s="53"/>
      <c r="T166" s="53"/>
      <c r="U166" s="53"/>
    </row>
    <row r="167">
      <c r="P167" s="53"/>
      <c r="R167" s="53"/>
      <c r="S167" s="53"/>
      <c r="T167" s="53"/>
      <c r="U167" s="53"/>
    </row>
    <row r="168">
      <c r="P168" s="53"/>
      <c r="R168" s="53"/>
      <c r="S168" s="53"/>
      <c r="T168" s="53"/>
      <c r="U168" s="53"/>
    </row>
    <row r="169">
      <c r="P169" s="53"/>
      <c r="R169" s="53"/>
      <c r="S169" s="53"/>
      <c r="T169" s="53"/>
      <c r="U169" s="53"/>
    </row>
    <row r="170">
      <c r="P170" s="53"/>
      <c r="R170" s="53"/>
      <c r="S170" s="53"/>
      <c r="T170" s="53"/>
      <c r="U170" s="53"/>
    </row>
    <row r="171">
      <c r="P171" s="53"/>
      <c r="R171" s="53"/>
      <c r="S171" s="53"/>
      <c r="T171" s="53"/>
      <c r="U171" s="53"/>
    </row>
    <row r="172">
      <c r="P172" s="53"/>
      <c r="R172" s="53"/>
      <c r="S172" s="53"/>
      <c r="T172" s="53"/>
      <c r="U172" s="53"/>
    </row>
    <row r="173">
      <c r="P173" s="53"/>
      <c r="R173" s="53"/>
      <c r="S173" s="53"/>
      <c r="T173" s="53"/>
      <c r="U173" s="53"/>
    </row>
    <row r="174">
      <c r="P174" s="53"/>
      <c r="R174" s="53"/>
      <c r="S174" s="53"/>
      <c r="T174" s="53"/>
      <c r="U174" s="53"/>
    </row>
    <row r="175">
      <c r="P175" s="53"/>
      <c r="R175" s="53"/>
      <c r="S175" s="53"/>
      <c r="T175" s="53"/>
      <c r="U175" s="53"/>
    </row>
    <row r="176">
      <c r="P176" s="53"/>
      <c r="R176" s="53"/>
      <c r="S176" s="53"/>
      <c r="T176" s="53"/>
      <c r="U176" s="53"/>
    </row>
    <row r="177">
      <c r="P177" s="53"/>
      <c r="R177" s="53"/>
      <c r="S177" s="53"/>
      <c r="T177" s="53"/>
      <c r="U177" s="53"/>
    </row>
    <row r="178">
      <c r="P178" s="53"/>
      <c r="R178" s="53"/>
      <c r="S178" s="53"/>
      <c r="T178" s="53"/>
      <c r="U178" s="53"/>
    </row>
    <row r="179">
      <c r="P179" s="53"/>
      <c r="R179" s="53"/>
      <c r="S179" s="53"/>
      <c r="T179" s="53"/>
      <c r="U179" s="53"/>
    </row>
    <row r="180">
      <c r="P180" s="53"/>
      <c r="R180" s="53"/>
      <c r="S180" s="53"/>
      <c r="T180" s="53"/>
      <c r="U180" s="53"/>
    </row>
    <row r="181">
      <c r="P181" s="53"/>
      <c r="R181" s="53"/>
      <c r="S181" s="53"/>
      <c r="T181" s="53"/>
      <c r="U181" s="53"/>
    </row>
    <row r="182">
      <c r="P182" s="53"/>
      <c r="R182" s="53"/>
      <c r="S182" s="53"/>
      <c r="T182" s="53"/>
      <c r="U182" s="53"/>
    </row>
    <row r="183">
      <c r="P183" s="53"/>
      <c r="R183" s="53"/>
      <c r="S183" s="53"/>
      <c r="T183" s="53"/>
      <c r="U183" s="53"/>
    </row>
    <row r="184">
      <c r="P184" s="53"/>
      <c r="R184" s="53"/>
      <c r="S184" s="53"/>
      <c r="T184" s="53"/>
      <c r="U184" s="53"/>
    </row>
    <row r="185">
      <c r="P185" s="53"/>
      <c r="R185" s="53"/>
      <c r="S185" s="53"/>
      <c r="T185" s="53"/>
      <c r="U185" s="53"/>
    </row>
    <row r="186">
      <c r="P186" s="53"/>
      <c r="R186" s="53"/>
      <c r="S186" s="53"/>
      <c r="T186" s="53"/>
      <c r="U186" s="53"/>
    </row>
    <row r="187">
      <c r="P187" s="53"/>
      <c r="R187" s="53"/>
      <c r="S187" s="53"/>
      <c r="T187" s="53"/>
      <c r="U187" s="53"/>
    </row>
    <row r="188">
      <c r="P188" s="53"/>
      <c r="R188" s="53"/>
      <c r="S188" s="53"/>
      <c r="T188" s="53"/>
      <c r="U188" s="53"/>
    </row>
    <row r="189">
      <c r="P189" s="53"/>
      <c r="R189" s="53"/>
      <c r="S189" s="53"/>
      <c r="T189" s="53"/>
      <c r="U189" s="53"/>
    </row>
    <row r="190">
      <c r="P190" s="53"/>
      <c r="R190" s="53"/>
      <c r="S190" s="53"/>
      <c r="T190" s="53"/>
      <c r="U190" s="53"/>
    </row>
    <row r="191">
      <c r="P191" s="53"/>
      <c r="R191" s="53"/>
      <c r="S191" s="53"/>
      <c r="T191" s="53"/>
      <c r="U191" s="53"/>
    </row>
    <row r="192">
      <c r="P192" s="53"/>
      <c r="R192" s="53"/>
      <c r="S192" s="53"/>
      <c r="T192" s="53"/>
      <c r="U192" s="53"/>
    </row>
    <row r="193">
      <c r="P193" s="53"/>
      <c r="R193" s="53"/>
      <c r="S193" s="53"/>
      <c r="T193" s="53"/>
      <c r="U193" s="53"/>
    </row>
    <row r="194">
      <c r="P194" s="53"/>
      <c r="R194" s="53"/>
      <c r="S194" s="53"/>
      <c r="T194" s="53"/>
      <c r="U194" s="53"/>
    </row>
    <row r="195">
      <c r="P195" s="53"/>
      <c r="R195" s="53"/>
      <c r="S195" s="53"/>
      <c r="T195" s="53"/>
      <c r="U195" s="53"/>
    </row>
    <row r="196">
      <c r="P196" s="53"/>
      <c r="R196" s="53"/>
      <c r="S196" s="53"/>
      <c r="T196" s="53"/>
      <c r="U196" s="53"/>
    </row>
    <row r="197">
      <c r="P197" s="53"/>
      <c r="R197" s="53"/>
      <c r="S197" s="53"/>
      <c r="T197" s="53"/>
      <c r="U197" s="53"/>
    </row>
    <row r="198">
      <c r="P198" s="53"/>
      <c r="R198" s="53"/>
      <c r="S198" s="53"/>
      <c r="T198" s="53"/>
      <c r="U198" s="53"/>
    </row>
    <row r="199">
      <c r="P199" s="53"/>
      <c r="R199" s="53"/>
      <c r="S199" s="53"/>
      <c r="T199" s="53"/>
      <c r="U199" s="53"/>
    </row>
    <row r="200">
      <c r="P200" s="53"/>
      <c r="R200" s="53"/>
      <c r="S200" s="53"/>
      <c r="T200" s="53"/>
      <c r="U200" s="53"/>
    </row>
    <row r="201">
      <c r="P201" s="53"/>
      <c r="R201" s="53"/>
      <c r="S201" s="53"/>
      <c r="T201" s="53"/>
      <c r="U201" s="53"/>
    </row>
    <row r="202">
      <c r="P202" s="53"/>
      <c r="R202" s="53"/>
      <c r="S202" s="53"/>
      <c r="T202" s="53"/>
      <c r="U202" s="53"/>
    </row>
    <row r="203">
      <c r="P203" s="53"/>
      <c r="R203" s="53"/>
      <c r="S203" s="53"/>
      <c r="T203" s="53"/>
      <c r="U203" s="53"/>
    </row>
    <row r="204">
      <c r="P204" s="53"/>
      <c r="R204" s="53"/>
      <c r="S204" s="53"/>
      <c r="T204" s="53"/>
      <c r="U204" s="53"/>
    </row>
    <row r="205">
      <c r="P205" s="53"/>
      <c r="R205" s="53"/>
      <c r="S205" s="53"/>
      <c r="T205" s="53"/>
      <c r="U205" s="53"/>
    </row>
    <row r="206">
      <c r="P206" s="53"/>
      <c r="R206" s="53"/>
      <c r="S206" s="53"/>
      <c r="T206" s="53"/>
      <c r="U206" s="53"/>
    </row>
    <row r="207">
      <c r="P207" s="53"/>
      <c r="R207" s="53"/>
      <c r="S207" s="53"/>
      <c r="T207" s="53"/>
      <c r="U207" s="53"/>
    </row>
    <row r="208">
      <c r="P208" s="53"/>
      <c r="R208" s="53"/>
      <c r="S208" s="53"/>
      <c r="T208" s="53"/>
      <c r="U208" s="53"/>
    </row>
    <row r="209">
      <c r="P209" s="53"/>
      <c r="R209" s="53"/>
      <c r="S209" s="53"/>
      <c r="T209" s="53"/>
      <c r="U209" s="53"/>
    </row>
    <row r="210">
      <c r="P210" s="53"/>
      <c r="R210" s="53"/>
      <c r="S210" s="53"/>
      <c r="T210" s="53"/>
      <c r="U210" s="53"/>
    </row>
    <row r="211">
      <c r="P211" s="53"/>
      <c r="R211" s="53"/>
      <c r="S211" s="53"/>
      <c r="T211" s="53"/>
      <c r="U211" s="53"/>
    </row>
    <row r="212">
      <c r="P212" s="53"/>
      <c r="R212" s="53"/>
      <c r="S212" s="53"/>
      <c r="T212" s="53"/>
      <c r="U212" s="53"/>
    </row>
    <row r="213">
      <c r="P213" s="53"/>
      <c r="R213" s="53"/>
      <c r="S213" s="53"/>
      <c r="T213" s="53"/>
      <c r="U213" s="53"/>
    </row>
    <row r="214">
      <c r="P214" s="53"/>
      <c r="R214" s="53"/>
      <c r="S214" s="53"/>
      <c r="T214" s="53"/>
      <c r="U214" s="53"/>
    </row>
    <row r="215">
      <c r="P215" s="53"/>
      <c r="R215" s="53"/>
      <c r="S215" s="53"/>
      <c r="T215" s="53"/>
      <c r="U215" s="53"/>
    </row>
    <row r="216">
      <c r="P216" s="53"/>
      <c r="R216" s="53"/>
      <c r="S216" s="53"/>
      <c r="T216" s="53"/>
      <c r="U216" s="53"/>
    </row>
    <row r="217">
      <c r="P217" s="53"/>
      <c r="R217" s="53"/>
      <c r="S217" s="53"/>
      <c r="T217" s="53"/>
      <c r="U217" s="53"/>
    </row>
    <row r="218">
      <c r="P218" s="53"/>
      <c r="R218" s="53"/>
      <c r="S218" s="53"/>
      <c r="T218" s="53"/>
      <c r="U218" s="53"/>
    </row>
    <row r="219">
      <c r="P219" s="53"/>
      <c r="R219" s="53"/>
      <c r="S219" s="53"/>
      <c r="T219" s="53"/>
      <c r="U219" s="53"/>
    </row>
    <row r="220">
      <c r="P220" s="53"/>
      <c r="R220" s="53"/>
      <c r="S220" s="53"/>
      <c r="T220" s="53"/>
      <c r="U220" s="53"/>
    </row>
    <row r="221">
      <c r="P221" s="53"/>
      <c r="R221" s="53"/>
      <c r="S221" s="53"/>
      <c r="T221" s="53"/>
      <c r="U221" s="53"/>
    </row>
    <row r="222">
      <c r="P222" s="53"/>
      <c r="R222" s="53"/>
      <c r="S222" s="53"/>
      <c r="T222" s="53"/>
      <c r="U222" s="53"/>
    </row>
    <row r="223">
      <c r="P223" s="53"/>
      <c r="R223" s="53"/>
      <c r="S223" s="53"/>
      <c r="T223" s="53"/>
      <c r="U223" s="53"/>
    </row>
    <row r="224">
      <c r="P224" s="53"/>
      <c r="R224" s="53"/>
      <c r="S224" s="53"/>
      <c r="T224" s="53"/>
      <c r="U224" s="53"/>
    </row>
    <row r="225">
      <c r="P225" s="53"/>
      <c r="R225" s="53"/>
      <c r="S225" s="53"/>
      <c r="T225" s="53"/>
      <c r="U225" s="53"/>
    </row>
    <row r="226">
      <c r="P226" s="53"/>
      <c r="R226" s="53"/>
      <c r="S226" s="53"/>
      <c r="T226" s="53"/>
      <c r="U226" s="53"/>
    </row>
    <row r="227">
      <c r="P227" s="53"/>
      <c r="R227" s="53"/>
      <c r="S227" s="53"/>
      <c r="T227" s="53"/>
      <c r="U227" s="53"/>
    </row>
    <row r="228">
      <c r="P228" s="53"/>
      <c r="R228" s="53"/>
      <c r="S228" s="53"/>
      <c r="T228" s="53"/>
      <c r="U228" s="53"/>
    </row>
    <row r="229">
      <c r="P229" s="53"/>
      <c r="R229" s="53"/>
      <c r="S229" s="53"/>
      <c r="T229" s="53"/>
      <c r="U229" s="53"/>
    </row>
    <row r="230">
      <c r="P230" s="53"/>
      <c r="R230" s="53"/>
      <c r="S230" s="53"/>
      <c r="T230" s="53"/>
      <c r="U230" s="53"/>
    </row>
    <row r="231">
      <c r="P231" s="53"/>
      <c r="R231" s="53"/>
      <c r="S231" s="53"/>
      <c r="T231" s="53"/>
      <c r="U231" s="53"/>
    </row>
    <row r="232">
      <c r="P232" s="53"/>
      <c r="R232" s="53"/>
      <c r="S232" s="53"/>
      <c r="T232" s="53"/>
      <c r="U232" s="53"/>
    </row>
    <row r="233">
      <c r="P233" s="53"/>
      <c r="R233" s="53"/>
      <c r="S233" s="53"/>
      <c r="T233" s="53"/>
      <c r="U233" s="53"/>
    </row>
    <row r="234">
      <c r="P234" s="53"/>
      <c r="R234" s="53"/>
      <c r="S234" s="53"/>
      <c r="T234" s="53"/>
      <c r="U234" s="53"/>
    </row>
    <row r="235">
      <c r="P235" s="53"/>
      <c r="R235" s="53"/>
      <c r="S235" s="53"/>
      <c r="T235" s="53"/>
      <c r="U235" s="53"/>
    </row>
    <row r="236">
      <c r="P236" s="53"/>
      <c r="R236" s="53"/>
      <c r="S236" s="53"/>
      <c r="T236" s="53"/>
      <c r="U236" s="53"/>
    </row>
    <row r="237">
      <c r="P237" s="53"/>
      <c r="R237" s="53"/>
      <c r="S237" s="53"/>
      <c r="T237" s="53"/>
      <c r="U237" s="53"/>
    </row>
    <row r="238">
      <c r="P238" s="53"/>
      <c r="R238" s="53"/>
      <c r="S238" s="53"/>
      <c r="T238" s="53"/>
      <c r="U238" s="53"/>
    </row>
    <row r="239">
      <c r="P239" s="53"/>
      <c r="R239" s="53"/>
      <c r="S239" s="53"/>
      <c r="T239" s="53"/>
      <c r="U239" s="53"/>
    </row>
    <row r="240">
      <c r="P240" s="53"/>
      <c r="R240" s="53"/>
      <c r="S240" s="53"/>
      <c r="T240" s="53"/>
      <c r="U240" s="53"/>
    </row>
    <row r="241">
      <c r="P241" s="53"/>
      <c r="R241" s="53"/>
      <c r="S241" s="53"/>
      <c r="T241" s="53"/>
      <c r="U241" s="53"/>
    </row>
    <row r="242">
      <c r="P242" s="53"/>
      <c r="R242" s="53"/>
      <c r="S242" s="53"/>
      <c r="T242" s="53"/>
      <c r="U242" s="53"/>
    </row>
    <row r="243">
      <c r="P243" s="53"/>
      <c r="R243" s="53"/>
      <c r="S243" s="53"/>
      <c r="T243" s="53"/>
      <c r="U243" s="53"/>
    </row>
    <row r="244">
      <c r="P244" s="53"/>
      <c r="R244" s="53"/>
      <c r="S244" s="53"/>
      <c r="T244" s="53"/>
      <c r="U244" s="53"/>
    </row>
    <row r="245">
      <c r="P245" s="53"/>
      <c r="R245" s="53"/>
      <c r="S245" s="53"/>
      <c r="T245" s="53"/>
      <c r="U245" s="53"/>
    </row>
    <row r="246">
      <c r="P246" s="53"/>
      <c r="R246" s="53"/>
      <c r="S246" s="53"/>
      <c r="T246" s="53"/>
      <c r="U246" s="53"/>
    </row>
    <row r="247">
      <c r="P247" s="53"/>
      <c r="R247" s="53"/>
      <c r="S247" s="53"/>
      <c r="T247" s="53"/>
      <c r="U247" s="53"/>
    </row>
    <row r="248">
      <c r="P248" s="53"/>
      <c r="R248" s="53"/>
      <c r="S248" s="53"/>
      <c r="T248" s="53"/>
      <c r="U248" s="53"/>
    </row>
    <row r="249">
      <c r="P249" s="53"/>
      <c r="R249" s="53"/>
      <c r="S249" s="53"/>
      <c r="T249" s="53"/>
      <c r="U249" s="53"/>
    </row>
    <row r="250">
      <c r="P250" s="53"/>
      <c r="R250" s="53"/>
      <c r="S250" s="53"/>
      <c r="T250" s="53"/>
      <c r="U250" s="53"/>
    </row>
    <row r="251">
      <c r="P251" s="53"/>
      <c r="R251" s="53"/>
      <c r="S251" s="53"/>
      <c r="T251" s="53"/>
      <c r="U251" s="53"/>
    </row>
    <row r="252">
      <c r="P252" s="53"/>
      <c r="R252" s="53"/>
      <c r="S252" s="53"/>
      <c r="T252" s="53"/>
      <c r="U252" s="53"/>
    </row>
    <row r="253">
      <c r="P253" s="53"/>
      <c r="R253" s="53"/>
      <c r="S253" s="53"/>
      <c r="T253" s="53"/>
      <c r="U253" s="53"/>
    </row>
    <row r="254">
      <c r="P254" s="53"/>
      <c r="R254" s="53"/>
      <c r="S254" s="53"/>
      <c r="T254" s="53"/>
      <c r="U254" s="53"/>
    </row>
    <row r="255">
      <c r="P255" s="53"/>
      <c r="R255" s="53"/>
      <c r="S255" s="53"/>
      <c r="T255" s="53"/>
      <c r="U255" s="53"/>
    </row>
    <row r="256">
      <c r="P256" s="53"/>
      <c r="R256" s="53"/>
      <c r="S256" s="53"/>
      <c r="T256" s="53"/>
      <c r="U256" s="53"/>
    </row>
    <row r="257">
      <c r="P257" s="53"/>
      <c r="R257" s="53"/>
      <c r="S257" s="53"/>
      <c r="T257" s="53"/>
      <c r="U257" s="53"/>
    </row>
    <row r="258">
      <c r="P258" s="53"/>
      <c r="R258" s="53"/>
      <c r="S258" s="53"/>
      <c r="T258" s="53"/>
      <c r="U258" s="53"/>
    </row>
    <row r="259">
      <c r="P259" s="53"/>
      <c r="R259" s="53"/>
      <c r="S259" s="53"/>
      <c r="T259" s="53"/>
      <c r="U259" s="53"/>
    </row>
    <row r="260">
      <c r="P260" s="53"/>
      <c r="R260" s="53"/>
      <c r="S260" s="53"/>
      <c r="T260" s="53"/>
      <c r="U260" s="53"/>
    </row>
    <row r="261">
      <c r="P261" s="53"/>
      <c r="R261" s="53"/>
      <c r="S261" s="53"/>
      <c r="T261" s="53"/>
      <c r="U261" s="53"/>
    </row>
    <row r="262">
      <c r="P262" s="53"/>
      <c r="R262" s="53"/>
      <c r="S262" s="53"/>
      <c r="T262" s="53"/>
      <c r="U262" s="53"/>
    </row>
    <row r="263">
      <c r="P263" s="53"/>
      <c r="R263" s="53"/>
      <c r="S263" s="53"/>
      <c r="T263" s="53"/>
      <c r="U263" s="53"/>
    </row>
    <row r="264">
      <c r="P264" s="53"/>
      <c r="R264" s="53"/>
      <c r="S264" s="53"/>
      <c r="T264" s="53"/>
      <c r="U264" s="53"/>
    </row>
    <row r="265">
      <c r="P265" s="53"/>
      <c r="R265" s="53"/>
      <c r="S265" s="53"/>
      <c r="T265" s="53"/>
      <c r="U265" s="53"/>
    </row>
    <row r="266">
      <c r="P266" s="53"/>
      <c r="R266" s="53"/>
      <c r="S266" s="53"/>
      <c r="T266" s="53"/>
      <c r="U266" s="53"/>
    </row>
    <row r="267">
      <c r="P267" s="53"/>
      <c r="R267" s="53"/>
      <c r="S267" s="53"/>
      <c r="T267" s="53"/>
      <c r="U267" s="53"/>
    </row>
    <row r="268">
      <c r="P268" s="53"/>
      <c r="R268" s="53"/>
      <c r="S268" s="53"/>
      <c r="T268" s="53"/>
      <c r="U268" s="53"/>
    </row>
    <row r="269">
      <c r="P269" s="53"/>
      <c r="R269" s="53"/>
      <c r="S269" s="53"/>
      <c r="T269" s="53"/>
      <c r="U269" s="53"/>
    </row>
    <row r="270">
      <c r="P270" s="53"/>
      <c r="R270" s="53"/>
      <c r="S270" s="53"/>
      <c r="T270" s="53"/>
      <c r="U270" s="53"/>
    </row>
    <row r="271">
      <c r="P271" s="53"/>
      <c r="R271" s="53"/>
      <c r="S271" s="53"/>
      <c r="T271" s="53"/>
      <c r="U271" s="53"/>
    </row>
    <row r="272">
      <c r="P272" s="53"/>
      <c r="R272" s="53"/>
      <c r="S272" s="53"/>
      <c r="T272" s="53"/>
      <c r="U272" s="53"/>
    </row>
    <row r="273">
      <c r="P273" s="53"/>
      <c r="R273" s="53"/>
      <c r="S273" s="53"/>
      <c r="T273" s="53"/>
      <c r="U273" s="53"/>
    </row>
    <row r="274">
      <c r="P274" s="53"/>
      <c r="R274" s="53"/>
      <c r="S274" s="53"/>
      <c r="T274" s="53"/>
      <c r="U274" s="53"/>
    </row>
    <row r="275">
      <c r="P275" s="53"/>
      <c r="R275" s="53"/>
      <c r="S275" s="53"/>
      <c r="T275" s="53"/>
      <c r="U275" s="53"/>
    </row>
    <row r="276">
      <c r="P276" s="53"/>
      <c r="R276" s="53"/>
      <c r="S276" s="53"/>
      <c r="T276" s="53"/>
      <c r="U276" s="53"/>
    </row>
    <row r="277">
      <c r="P277" s="53"/>
      <c r="R277" s="53"/>
      <c r="S277" s="53"/>
      <c r="T277" s="53"/>
      <c r="U277" s="53"/>
    </row>
    <row r="278">
      <c r="P278" s="53"/>
      <c r="R278" s="53"/>
      <c r="S278" s="53"/>
      <c r="T278" s="53"/>
      <c r="U278" s="53"/>
    </row>
    <row r="279">
      <c r="P279" s="53"/>
      <c r="R279" s="53"/>
      <c r="S279" s="53"/>
      <c r="T279" s="53"/>
      <c r="U279" s="53"/>
    </row>
    <row r="280">
      <c r="P280" s="53"/>
      <c r="R280" s="53"/>
      <c r="S280" s="53"/>
      <c r="T280" s="53"/>
      <c r="U280" s="53"/>
    </row>
    <row r="281">
      <c r="P281" s="53"/>
      <c r="R281" s="53"/>
      <c r="S281" s="53"/>
      <c r="T281" s="53"/>
      <c r="U281" s="53"/>
    </row>
    <row r="282">
      <c r="P282" s="53"/>
      <c r="R282" s="53"/>
      <c r="S282" s="53"/>
      <c r="T282" s="53"/>
      <c r="U282" s="53"/>
    </row>
    <row r="283">
      <c r="P283" s="53"/>
      <c r="R283" s="53"/>
      <c r="S283" s="53"/>
      <c r="T283" s="53"/>
      <c r="U283" s="53"/>
    </row>
    <row r="284">
      <c r="P284" s="53"/>
      <c r="R284" s="53"/>
      <c r="S284" s="53"/>
      <c r="T284" s="53"/>
      <c r="U284" s="53"/>
    </row>
    <row r="285">
      <c r="P285" s="53"/>
      <c r="R285" s="53"/>
      <c r="S285" s="53"/>
      <c r="T285" s="53"/>
      <c r="U285" s="53"/>
    </row>
    <row r="286">
      <c r="P286" s="53"/>
      <c r="R286" s="53"/>
      <c r="S286" s="53"/>
      <c r="T286" s="53"/>
      <c r="U286" s="53"/>
    </row>
    <row r="287">
      <c r="P287" s="53"/>
      <c r="R287" s="53"/>
      <c r="S287" s="53"/>
      <c r="T287" s="53"/>
      <c r="U287" s="53"/>
    </row>
    <row r="288">
      <c r="P288" s="53"/>
      <c r="R288" s="53"/>
      <c r="S288" s="53"/>
      <c r="T288" s="53"/>
      <c r="U288" s="53"/>
    </row>
    <row r="289">
      <c r="P289" s="53"/>
      <c r="R289" s="53"/>
      <c r="S289" s="53"/>
      <c r="T289" s="53"/>
      <c r="U289" s="53"/>
    </row>
    <row r="290">
      <c r="P290" s="53"/>
      <c r="R290" s="53"/>
      <c r="S290" s="53"/>
      <c r="T290" s="53"/>
      <c r="U290" s="53"/>
    </row>
    <row r="291">
      <c r="P291" s="53"/>
      <c r="R291" s="53"/>
      <c r="S291" s="53"/>
      <c r="T291" s="53"/>
      <c r="U291" s="53"/>
    </row>
    <row r="292">
      <c r="P292" s="53"/>
      <c r="R292" s="53"/>
      <c r="S292" s="53"/>
      <c r="T292" s="53"/>
      <c r="U292" s="53"/>
    </row>
    <row r="293">
      <c r="P293" s="53"/>
      <c r="R293" s="53"/>
      <c r="S293" s="53"/>
      <c r="T293" s="53"/>
      <c r="U293" s="53"/>
    </row>
    <row r="294">
      <c r="P294" s="53"/>
      <c r="R294" s="53"/>
      <c r="S294" s="53"/>
      <c r="T294" s="53"/>
      <c r="U294" s="53"/>
    </row>
    <row r="295">
      <c r="P295" s="53"/>
      <c r="R295" s="53"/>
      <c r="S295" s="53"/>
      <c r="T295" s="53"/>
      <c r="U295" s="53"/>
    </row>
    <row r="296">
      <c r="P296" s="53"/>
      <c r="R296" s="53"/>
      <c r="S296" s="53"/>
      <c r="T296" s="53"/>
      <c r="U296" s="53"/>
    </row>
    <row r="297">
      <c r="P297" s="53"/>
      <c r="R297" s="53"/>
      <c r="S297" s="53"/>
      <c r="T297" s="53"/>
      <c r="U297" s="53"/>
    </row>
    <row r="298">
      <c r="P298" s="53"/>
      <c r="R298" s="53"/>
      <c r="S298" s="53"/>
      <c r="T298" s="53"/>
      <c r="U298" s="53"/>
    </row>
    <row r="299">
      <c r="P299" s="53"/>
      <c r="R299" s="53"/>
      <c r="S299" s="53"/>
      <c r="T299" s="53"/>
      <c r="U299" s="53"/>
    </row>
    <row r="300">
      <c r="P300" s="53"/>
      <c r="R300" s="53"/>
      <c r="S300" s="53"/>
      <c r="T300" s="53"/>
      <c r="U300" s="53"/>
    </row>
    <row r="301">
      <c r="P301" s="53"/>
      <c r="R301" s="53"/>
      <c r="S301" s="53"/>
      <c r="T301" s="53"/>
      <c r="U301" s="53"/>
    </row>
    <row r="302">
      <c r="P302" s="53"/>
      <c r="R302" s="53"/>
      <c r="S302" s="53"/>
      <c r="T302" s="53"/>
      <c r="U302" s="53"/>
    </row>
    <row r="303">
      <c r="P303" s="53"/>
      <c r="R303" s="53"/>
      <c r="S303" s="53"/>
      <c r="T303" s="53"/>
      <c r="U303" s="53"/>
    </row>
    <row r="304">
      <c r="P304" s="53"/>
      <c r="R304" s="53"/>
      <c r="S304" s="53"/>
      <c r="T304" s="53"/>
      <c r="U304" s="53"/>
    </row>
    <row r="305">
      <c r="P305" s="53"/>
      <c r="R305" s="53"/>
      <c r="S305" s="53"/>
      <c r="T305" s="53"/>
      <c r="U305" s="53"/>
    </row>
    <row r="306">
      <c r="P306" s="53"/>
      <c r="R306" s="53"/>
      <c r="S306" s="53"/>
      <c r="T306" s="53"/>
      <c r="U306" s="53"/>
    </row>
    <row r="307">
      <c r="P307" s="53"/>
      <c r="R307" s="53"/>
      <c r="S307" s="53"/>
      <c r="T307" s="53"/>
      <c r="U307" s="53"/>
    </row>
    <row r="308">
      <c r="P308" s="53"/>
      <c r="R308" s="53"/>
      <c r="S308" s="53"/>
      <c r="T308" s="53"/>
      <c r="U308" s="53"/>
    </row>
    <row r="309">
      <c r="P309" s="53"/>
      <c r="R309" s="53"/>
      <c r="S309" s="53"/>
      <c r="T309" s="53"/>
      <c r="U309" s="53"/>
    </row>
    <row r="310">
      <c r="P310" s="53"/>
      <c r="R310" s="53"/>
      <c r="S310" s="53"/>
      <c r="T310" s="53"/>
      <c r="U310" s="53"/>
    </row>
    <row r="311">
      <c r="P311" s="53"/>
      <c r="R311" s="53"/>
      <c r="S311" s="53"/>
      <c r="T311" s="53"/>
      <c r="U311" s="53"/>
    </row>
    <row r="312">
      <c r="P312" s="53"/>
      <c r="R312" s="53"/>
      <c r="S312" s="53"/>
      <c r="T312" s="53"/>
      <c r="U312" s="53"/>
    </row>
    <row r="313">
      <c r="P313" s="53"/>
      <c r="R313" s="53"/>
      <c r="S313" s="53"/>
      <c r="T313" s="53"/>
      <c r="U313" s="53"/>
    </row>
    <row r="314">
      <c r="P314" s="53"/>
      <c r="R314" s="53"/>
      <c r="S314" s="53"/>
      <c r="T314" s="53"/>
      <c r="U314" s="53"/>
    </row>
    <row r="315">
      <c r="P315" s="53"/>
      <c r="R315" s="53"/>
      <c r="S315" s="53"/>
      <c r="T315" s="53"/>
      <c r="U315" s="53"/>
    </row>
    <row r="316">
      <c r="P316" s="53"/>
      <c r="R316" s="53"/>
      <c r="S316" s="53"/>
      <c r="T316" s="53"/>
      <c r="U316" s="53"/>
    </row>
    <row r="317">
      <c r="P317" s="53"/>
      <c r="R317" s="53"/>
      <c r="S317" s="53"/>
      <c r="T317" s="53"/>
      <c r="U317" s="53"/>
    </row>
    <row r="318">
      <c r="P318" s="53"/>
      <c r="R318" s="53"/>
      <c r="S318" s="53"/>
      <c r="T318" s="53"/>
      <c r="U318" s="53"/>
    </row>
    <row r="319">
      <c r="P319" s="53"/>
      <c r="R319" s="53"/>
      <c r="S319" s="53"/>
      <c r="T319" s="53"/>
      <c r="U319" s="53"/>
    </row>
    <row r="320">
      <c r="P320" s="53"/>
      <c r="R320" s="53"/>
      <c r="S320" s="53"/>
      <c r="T320" s="53"/>
      <c r="U320" s="53"/>
    </row>
    <row r="321">
      <c r="P321" s="53"/>
      <c r="R321" s="53"/>
      <c r="S321" s="53"/>
      <c r="T321" s="53"/>
      <c r="U321" s="53"/>
    </row>
    <row r="322">
      <c r="P322" s="53"/>
      <c r="R322" s="53"/>
      <c r="S322" s="53"/>
      <c r="T322" s="53"/>
      <c r="U322" s="53"/>
    </row>
    <row r="323">
      <c r="P323" s="53"/>
      <c r="R323" s="53"/>
      <c r="S323" s="53"/>
      <c r="T323" s="53"/>
      <c r="U323" s="53"/>
    </row>
    <row r="324">
      <c r="P324" s="53"/>
      <c r="R324" s="53"/>
      <c r="S324" s="53"/>
      <c r="T324" s="53"/>
      <c r="U324" s="53"/>
    </row>
    <row r="325">
      <c r="P325" s="53"/>
      <c r="R325" s="53"/>
      <c r="S325" s="53"/>
      <c r="T325" s="53"/>
      <c r="U325" s="53"/>
    </row>
    <row r="326">
      <c r="P326" s="53"/>
      <c r="R326" s="53"/>
      <c r="S326" s="53"/>
      <c r="T326" s="53"/>
      <c r="U326" s="53"/>
    </row>
    <row r="327">
      <c r="P327" s="53"/>
      <c r="R327" s="53"/>
      <c r="S327" s="53"/>
      <c r="T327" s="53"/>
      <c r="U327" s="53"/>
    </row>
    <row r="328">
      <c r="P328" s="53"/>
      <c r="R328" s="53"/>
      <c r="S328" s="53"/>
      <c r="T328" s="53"/>
      <c r="U328" s="53"/>
    </row>
    <row r="329">
      <c r="P329" s="53"/>
      <c r="R329" s="53"/>
      <c r="S329" s="53"/>
      <c r="T329" s="53"/>
      <c r="U329" s="53"/>
    </row>
    <row r="330">
      <c r="P330" s="53"/>
      <c r="R330" s="53"/>
      <c r="S330" s="53"/>
      <c r="T330" s="53"/>
      <c r="U330" s="53"/>
    </row>
    <row r="331">
      <c r="P331" s="53"/>
      <c r="R331" s="53"/>
      <c r="S331" s="53"/>
      <c r="T331" s="53"/>
      <c r="U331" s="53"/>
    </row>
    <row r="332">
      <c r="P332" s="53"/>
      <c r="R332" s="53"/>
      <c r="S332" s="53"/>
      <c r="T332" s="53"/>
      <c r="U332" s="53"/>
    </row>
    <row r="333">
      <c r="P333" s="53"/>
      <c r="R333" s="53"/>
      <c r="S333" s="53"/>
      <c r="T333" s="53"/>
      <c r="U333" s="53"/>
    </row>
    <row r="334">
      <c r="P334" s="53"/>
      <c r="R334" s="53"/>
      <c r="S334" s="53"/>
      <c r="T334" s="53"/>
      <c r="U334" s="53"/>
    </row>
    <row r="335">
      <c r="P335" s="53"/>
      <c r="R335" s="53"/>
      <c r="S335" s="53"/>
      <c r="T335" s="53"/>
      <c r="U335" s="53"/>
    </row>
    <row r="336">
      <c r="P336" s="53"/>
      <c r="R336" s="53"/>
      <c r="S336" s="53"/>
      <c r="T336" s="53"/>
      <c r="U336" s="53"/>
    </row>
    <row r="337">
      <c r="P337" s="53"/>
      <c r="R337" s="53"/>
      <c r="S337" s="53"/>
      <c r="T337" s="53"/>
      <c r="U337" s="53"/>
    </row>
    <row r="338">
      <c r="P338" s="53"/>
      <c r="R338" s="53"/>
      <c r="S338" s="53"/>
      <c r="T338" s="53"/>
      <c r="U338" s="53"/>
    </row>
    <row r="339">
      <c r="P339" s="53"/>
      <c r="R339" s="53"/>
      <c r="S339" s="53"/>
      <c r="T339" s="53"/>
      <c r="U339" s="53"/>
    </row>
    <row r="340">
      <c r="P340" s="53"/>
      <c r="R340" s="53"/>
      <c r="S340" s="53"/>
      <c r="T340" s="53"/>
      <c r="U340" s="53"/>
    </row>
    <row r="341">
      <c r="P341" s="53"/>
      <c r="R341" s="53"/>
      <c r="S341" s="53"/>
      <c r="T341" s="53"/>
      <c r="U341" s="53"/>
    </row>
    <row r="342">
      <c r="P342" s="53"/>
      <c r="R342" s="53"/>
      <c r="S342" s="53"/>
      <c r="T342" s="53"/>
      <c r="U342" s="53"/>
    </row>
    <row r="343">
      <c r="P343" s="53"/>
      <c r="R343" s="53"/>
      <c r="S343" s="53"/>
      <c r="T343" s="53"/>
      <c r="U343" s="53"/>
    </row>
    <row r="344">
      <c r="P344" s="53"/>
      <c r="R344" s="53"/>
      <c r="S344" s="53"/>
      <c r="T344" s="53"/>
      <c r="U344" s="53"/>
    </row>
    <row r="345">
      <c r="P345" s="53"/>
      <c r="R345" s="53"/>
      <c r="S345" s="53"/>
      <c r="T345" s="53"/>
      <c r="U345" s="53"/>
    </row>
    <row r="346">
      <c r="P346" s="53"/>
      <c r="R346" s="53"/>
      <c r="S346" s="53"/>
      <c r="T346" s="53"/>
      <c r="U346" s="53"/>
    </row>
    <row r="347">
      <c r="P347" s="53"/>
      <c r="R347" s="53"/>
      <c r="S347" s="53"/>
      <c r="T347" s="53"/>
      <c r="U347" s="53"/>
    </row>
    <row r="348">
      <c r="P348" s="53"/>
      <c r="R348" s="53"/>
      <c r="S348" s="53"/>
      <c r="T348" s="53"/>
      <c r="U348" s="53"/>
    </row>
    <row r="349">
      <c r="P349" s="53"/>
      <c r="R349" s="53"/>
      <c r="S349" s="53"/>
      <c r="T349" s="53"/>
      <c r="U349" s="53"/>
    </row>
    <row r="350">
      <c r="P350" s="53"/>
      <c r="R350" s="53"/>
      <c r="S350" s="53"/>
      <c r="T350" s="53"/>
      <c r="U350" s="53"/>
    </row>
    <row r="351">
      <c r="P351" s="53"/>
      <c r="R351" s="53"/>
      <c r="S351" s="53"/>
      <c r="T351" s="53"/>
      <c r="U351" s="53"/>
    </row>
    <row r="352">
      <c r="P352" s="53"/>
      <c r="R352" s="53"/>
      <c r="S352" s="53"/>
      <c r="T352" s="53"/>
      <c r="U352" s="53"/>
    </row>
    <row r="353">
      <c r="P353" s="53"/>
      <c r="R353" s="53"/>
      <c r="S353" s="53"/>
      <c r="T353" s="53"/>
      <c r="U353" s="53"/>
    </row>
    <row r="354">
      <c r="P354" s="53"/>
      <c r="R354" s="53"/>
      <c r="S354" s="53"/>
      <c r="T354" s="53"/>
      <c r="U354" s="53"/>
    </row>
    <row r="355">
      <c r="P355" s="53"/>
      <c r="R355" s="53"/>
      <c r="S355" s="53"/>
      <c r="T355" s="53"/>
      <c r="U355" s="53"/>
    </row>
    <row r="356">
      <c r="P356" s="53"/>
      <c r="R356" s="53"/>
      <c r="S356" s="53"/>
      <c r="T356" s="53"/>
      <c r="U356" s="53"/>
    </row>
    <row r="357">
      <c r="P357" s="53"/>
      <c r="R357" s="53"/>
      <c r="S357" s="53"/>
      <c r="T357" s="53"/>
      <c r="U357" s="53"/>
    </row>
    <row r="358">
      <c r="P358" s="53"/>
      <c r="R358" s="53"/>
      <c r="S358" s="53"/>
      <c r="T358" s="53"/>
      <c r="U358" s="53"/>
    </row>
    <row r="359">
      <c r="P359" s="53"/>
      <c r="R359" s="53"/>
      <c r="S359" s="53"/>
      <c r="T359" s="53"/>
      <c r="U359" s="53"/>
    </row>
    <row r="360">
      <c r="P360" s="53"/>
      <c r="R360" s="53"/>
      <c r="S360" s="53"/>
      <c r="T360" s="53"/>
      <c r="U360" s="53"/>
    </row>
    <row r="361">
      <c r="P361" s="53"/>
      <c r="R361" s="53"/>
      <c r="S361" s="53"/>
      <c r="T361" s="53"/>
      <c r="U361" s="53"/>
    </row>
    <row r="362">
      <c r="P362" s="53"/>
      <c r="R362" s="53"/>
      <c r="S362" s="53"/>
      <c r="T362" s="53"/>
      <c r="U362" s="53"/>
    </row>
    <row r="363">
      <c r="P363" s="53"/>
      <c r="R363" s="53"/>
      <c r="S363" s="53"/>
      <c r="T363" s="53"/>
      <c r="U363" s="53"/>
    </row>
    <row r="364">
      <c r="P364" s="53"/>
      <c r="R364" s="53"/>
      <c r="S364" s="53"/>
      <c r="T364" s="53"/>
      <c r="U364" s="53"/>
    </row>
    <row r="365">
      <c r="P365" s="53"/>
      <c r="R365" s="53"/>
      <c r="S365" s="53"/>
      <c r="T365" s="53"/>
      <c r="U365" s="53"/>
    </row>
    <row r="366">
      <c r="P366" s="53"/>
      <c r="R366" s="53"/>
      <c r="S366" s="53"/>
      <c r="T366" s="53"/>
      <c r="U366" s="53"/>
    </row>
    <row r="367">
      <c r="P367" s="53"/>
      <c r="R367" s="53"/>
      <c r="S367" s="53"/>
      <c r="T367" s="53"/>
      <c r="U367" s="53"/>
    </row>
    <row r="368">
      <c r="P368" s="53"/>
      <c r="R368" s="53"/>
      <c r="S368" s="53"/>
      <c r="T368" s="53"/>
      <c r="U368" s="53"/>
    </row>
    <row r="369">
      <c r="P369" s="53"/>
      <c r="R369" s="53"/>
      <c r="S369" s="53"/>
      <c r="T369" s="53"/>
      <c r="U369" s="53"/>
    </row>
    <row r="370">
      <c r="P370" s="53"/>
      <c r="R370" s="53"/>
      <c r="S370" s="53"/>
      <c r="T370" s="53"/>
      <c r="U370" s="53"/>
    </row>
    <row r="371">
      <c r="P371" s="53"/>
      <c r="R371" s="53"/>
      <c r="S371" s="53"/>
      <c r="T371" s="53"/>
      <c r="U371" s="53"/>
    </row>
    <row r="372">
      <c r="P372" s="53"/>
      <c r="R372" s="53"/>
      <c r="S372" s="53"/>
      <c r="T372" s="53"/>
      <c r="U372" s="53"/>
    </row>
    <row r="373">
      <c r="P373" s="53"/>
      <c r="R373" s="53"/>
      <c r="S373" s="53"/>
      <c r="T373" s="53"/>
      <c r="U373" s="53"/>
    </row>
    <row r="374">
      <c r="P374" s="53"/>
      <c r="R374" s="53"/>
      <c r="S374" s="53"/>
      <c r="T374" s="53"/>
      <c r="U374" s="53"/>
    </row>
    <row r="375">
      <c r="P375" s="53"/>
      <c r="R375" s="53"/>
      <c r="S375" s="53"/>
      <c r="T375" s="53"/>
      <c r="U375" s="53"/>
    </row>
    <row r="376">
      <c r="P376" s="53"/>
      <c r="R376" s="53"/>
      <c r="S376" s="53"/>
      <c r="T376" s="53"/>
      <c r="U376" s="53"/>
    </row>
    <row r="377">
      <c r="P377" s="53"/>
      <c r="R377" s="53"/>
      <c r="S377" s="53"/>
      <c r="T377" s="53"/>
      <c r="U377" s="53"/>
    </row>
    <row r="378">
      <c r="P378" s="53"/>
      <c r="R378" s="53"/>
      <c r="S378" s="53"/>
      <c r="T378" s="53"/>
      <c r="U378" s="53"/>
    </row>
    <row r="379">
      <c r="P379" s="53"/>
      <c r="R379" s="53"/>
      <c r="S379" s="53"/>
      <c r="T379" s="53"/>
      <c r="U379" s="53"/>
    </row>
    <row r="380">
      <c r="P380" s="53"/>
      <c r="R380" s="53"/>
      <c r="S380" s="53"/>
      <c r="T380" s="53"/>
      <c r="U380" s="53"/>
    </row>
    <row r="381">
      <c r="P381" s="53"/>
      <c r="R381" s="53"/>
      <c r="S381" s="53"/>
      <c r="T381" s="53"/>
      <c r="U381" s="53"/>
    </row>
    <row r="382">
      <c r="P382" s="53"/>
      <c r="R382" s="53"/>
      <c r="S382" s="53"/>
      <c r="T382" s="53"/>
      <c r="U382" s="53"/>
    </row>
    <row r="383">
      <c r="P383" s="53"/>
      <c r="R383" s="53"/>
      <c r="S383" s="53"/>
      <c r="T383" s="53"/>
      <c r="U383" s="53"/>
    </row>
    <row r="384">
      <c r="P384" s="53"/>
      <c r="R384" s="53"/>
      <c r="S384" s="53"/>
      <c r="T384" s="53"/>
      <c r="U384" s="53"/>
    </row>
    <row r="385">
      <c r="P385" s="53"/>
      <c r="R385" s="53"/>
      <c r="S385" s="53"/>
      <c r="T385" s="53"/>
      <c r="U385" s="53"/>
    </row>
    <row r="386">
      <c r="P386" s="53"/>
      <c r="R386" s="53"/>
      <c r="S386" s="53"/>
      <c r="T386" s="53"/>
      <c r="U386" s="53"/>
    </row>
    <row r="387">
      <c r="P387" s="53"/>
      <c r="R387" s="53"/>
      <c r="S387" s="53"/>
      <c r="T387" s="53"/>
      <c r="U387" s="53"/>
    </row>
    <row r="388">
      <c r="P388" s="53"/>
      <c r="R388" s="53"/>
      <c r="S388" s="53"/>
      <c r="T388" s="53"/>
      <c r="U388" s="53"/>
    </row>
    <row r="389">
      <c r="P389" s="53"/>
      <c r="R389" s="53"/>
      <c r="S389" s="53"/>
      <c r="T389" s="53"/>
      <c r="U389" s="53"/>
    </row>
    <row r="390">
      <c r="P390" s="53"/>
      <c r="R390" s="53"/>
      <c r="S390" s="53"/>
      <c r="T390" s="53"/>
      <c r="U390" s="53"/>
    </row>
    <row r="391">
      <c r="P391" s="53"/>
      <c r="R391" s="53"/>
      <c r="S391" s="53"/>
      <c r="T391" s="53"/>
      <c r="U391" s="53"/>
    </row>
    <row r="392">
      <c r="P392" s="53"/>
      <c r="R392" s="53"/>
      <c r="S392" s="53"/>
      <c r="T392" s="53"/>
      <c r="U392" s="53"/>
    </row>
    <row r="393">
      <c r="P393" s="53"/>
      <c r="R393" s="53"/>
      <c r="S393" s="53"/>
      <c r="T393" s="53"/>
      <c r="U393" s="53"/>
    </row>
    <row r="394">
      <c r="P394" s="53"/>
      <c r="R394" s="53"/>
      <c r="S394" s="53"/>
      <c r="T394" s="53"/>
      <c r="U394" s="53"/>
    </row>
    <row r="395">
      <c r="P395" s="53"/>
      <c r="R395" s="53"/>
      <c r="S395" s="53"/>
      <c r="T395" s="53"/>
      <c r="U395" s="53"/>
    </row>
    <row r="396">
      <c r="P396" s="53"/>
      <c r="R396" s="53"/>
      <c r="S396" s="53"/>
      <c r="T396" s="53"/>
      <c r="U396" s="53"/>
    </row>
    <row r="397">
      <c r="P397" s="53"/>
      <c r="R397" s="53"/>
      <c r="S397" s="53"/>
      <c r="T397" s="53"/>
      <c r="U397" s="53"/>
    </row>
    <row r="398">
      <c r="P398" s="53"/>
      <c r="R398" s="53"/>
      <c r="S398" s="53"/>
      <c r="T398" s="53"/>
      <c r="U398" s="53"/>
    </row>
    <row r="399">
      <c r="P399" s="53"/>
      <c r="R399" s="53"/>
      <c r="S399" s="53"/>
      <c r="T399" s="53"/>
      <c r="U399" s="53"/>
    </row>
    <row r="400">
      <c r="P400" s="53"/>
      <c r="R400" s="53"/>
      <c r="S400" s="53"/>
      <c r="T400" s="53"/>
      <c r="U400" s="53"/>
    </row>
    <row r="401">
      <c r="P401" s="53"/>
      <c r="R401" s="53"/>
      <c r="S401" s="53"/>
      <c r="T401" s="53"/>
      <c r="U401" s="53"/>
    </row>
    <row r="402">
      <c r="P402" s="53"/>
      <c r="R402" s="53"/>
      <c r="S402" s="53"/>
      <c r="T402" s="53"/>
      <c r="U402" s="53"/>
    </row>
    <row r="403">
      <c r="P403" s="53"/>
      <c r="R403" s="53"/>
      <c r="S403" s="53"/>
      <c r="T403" s="53"/>
      <c r="U403" s="53"/>
    </row>
    <row r="404">
      <c r="P404" s="53"/>
      <c r="R404" s="53"/>
      <c r="S404" s="53"/>
      <c r="T404" s="53"/>
      <c r="U404" s="53"/>
    </row>
    <row r="405">
      <c r="P405" s="53"/>
      <c r="R405" s="53"/>
      <c r="S405" s="53"/>
      <c r="T405" s="53"/>
      <c r="U405" s="53"/>
    </row>
    <row r="406">
      <c r="P406" s="53"/>
      <c r="R406" s="53"/>
      <c r="S406" s="53"/>
      <c r="T406" s="53"/>
      <c r="U406" s="53"/>
    </row>
    <row r="407">
      <c r="P407" s="53"/>
      <c r="R407" s="53"/>
      <c r="S407" s="53"/>
      <c r="T407" s="53"/>
      <c r="U407" s="53"/>
    </row>
    <row r="408">
      <c r="P408" s="53"/>
      <c r="R408" s="53"/>
      <c r="S408" s="53"/>
      <c r="T408" s="53"/>
      <c r="U408" s="53"/>
    </row>
    <row r="409">
      <c r="P409" s="53"/>
      <c r="R409" s="53"/>
      <c r="S409" s="53"/>
      <c r="T409" s="53"/>
      <c r="U409" s="53"/>
    </row>
    <row r="410">
      <c r="P410" s="53"/>
      <c r="R410" s="53"/>
      <c r="S410" s="53"/>
      <c r="T410" s="53"/>
      <c r="U410" s="53"/>
    </row>
    <row r="411">
      <c r="P411" s="53"/>
      <c r="R411" s="53"/>
      <c r="S411" s="53"/>
      <c r="T411" s="53"/>
      <c r="U411" s="53"/>
    </row>
    <row r="412">
      <c r="P412" s="53"/>
      <c r="R412" s="53"/>
      <c r="S412" s="53"/>
      <c r="T412" s="53"/>
      <c r="U412" s="53"/>
    </row>
    <row r="413">
      <c r="P413" s="53"/>
      <c r="R413" s="53"/>
      <c r="S413" s="53"/>
      <c r="T413" s="53"/>
      <c r="U413" s="53"/>
    </row>
    <row r="414">
      <c r="P414" s="53"/>
      <c r="R414" s="53"/>
      <c r="S414" s="53"/>
      <c r="T414" s="53"/>
      <c r="U414" s="53"/>
    </row>
    <row r="415">
      <c r="P415" s="53"/>
      <c r="R415" s="53"/>
      <c r="S415" s="53"/>
      <c r="T415" s="53"/>
      <c r="U415" s="53"/>
    </row>
    <row r="416">
      <c r="P416" s="53"/>
      <c r="R416" s="53"/>
      <c r="S416" s="53"/>
      <c r="T416" s="53"/>
      <c r="U416" s="53"/>
    </row>
    <row r="417">
      <c r="P417" s="53"/>
      <c r="R417" s="53"/>
      <c r="S417" s="53"/>
      <c r="T417" s="53"/>
      <c r="U417" s="53"/>
    </row>
    <row r="418">
      <c r="P418" s="53"/>
      <c r="R418" s="53"/>
      <c r="S418" s="53"/>
      <c r="T418" s="53"/>
      <c r="U418" s="53"/>
    </row>
    <row r="419">
      <c r="P419" s="53"/>
      <c r="R419" s="53"/>
      <c r="S419" s="53"/>
      <c r="T419" s="53"/>
      <c r="U419" s="53"/>
    </row>
    <row r="420">
      <c r="P420" s="53"/>
      <c r="R420" s="53"/>
      <c r="S420" s="53"/>
      <c r="T420" s="53"/>
      <c r="U420" s="53"/>
    </row>
    <row r="421">
      <c r="P421" s="53"/>
      <c r="R421" s="53"/>
      <c r="S421" s="53"/>
      <c r="T421" s="53"/>
      <c r="U421" s="53"/>
    </row>
    <row r="422">
      <c r="P422" s="53"/>
      <c r="R422" s="53"/>
      <c r="S422" s="53"/>
      <c r="T422" s="53"/>
      <c r="U422" s="53"/>
    </row>
    <row r="423">
      <c r="P423" s="53"/>
      <c r="R423" s="53"/>
      <c r="S423" s="53"/>
      <c r="T423" s="53"/>
      <c r="U423" s="53"/>
    </row>
    <row r="424">
      <c r="P424" s="53"/>
      <c r="R424" s="53"/>
      <c r="S424" s="53"/>
      <c r="T424" s="53"/>
      <c r="U424" s="53"/>
    </row>
    <row r="425">
      <c r="P425" s="53"/>
      <c r="R425" s="53"/>
      <c r="S425" s="53"/>
      <c r="T425" s="53"/>
      <c r="U425" s="53"/>
    </row>
    <row r="426">
      <c r="P426" s="53"/>
      <c r="R426" s="53"/>
      <c r="S426" s="53"/>
      <c r="T426" s="53"/>
      <c r="U426" s="53"/>
    </row>
    <row r="427">
      <c r="P427" s="53"/>
      <c r="R427" s="53"/>
      <c r="S427" s="53"/>
      <c r="T427" s="53"/>
      <c r="U427" s="53"/>
    </row>
    <row r="428">
      <c r="P428" s="53"/>
      <c r="R428" s="53"/>
      <c r="S428" s="53"/>
      <c r="T428" s="53"/>
      <c r="U428" s="53"/>
    </row>
    <row r="429">
      <c r="P429" s="53"/>
      <c r="R429" s="53"/>
      <c r="S429" s="53"/>
      <c r="T429" s="53"/>
      <c r="U429" s="53"/>
    </row>
    <row r="430">
      <c r="P430" s="53"/>
      <c r="R430" s="53"/>
      <c r="S430" s="53"/>
      <c r="T430" s="53"/>
      <c r="U430" s="53"/>
    </row>
    <row r="431">
      <c r="P431" s="53"/>
      <c r="R431" s="53"/>
      <c r="S431" s="53"/>
      <c r="T431" s="53"/>
      <c r="U431" s="53"/>
    </row>
    <row r="432">
      <c r="P432" s="53"/>
      <c r="R432" s="53"/>
      <c r="S432" s="53"/>
      <c r="T432" s="53"/>
      <c r="U432" s="53"/>
    </row>
    <row r="433">
      <c r="P433" s="53"/>
      <c r="R433" s="53"/>
      <c r="S433" s="53"/>
      <c r="T433" s="53"/>
      <c r="U433" s="53"/>
    </row>
    <row r="434">
      <c r="P434" s="53"/>
      <c r="R434" s="53"/>
      <c r="S434" s="53"/>
      <c r="T434" s="53"/>
      <c r="U434" s="53"/>
    </row>
    <row r="435">
      <c r="P435" s="53"/>
      <c r="R435" s="53"/>
      <c r="S435" s="53"/>
      <c r="T435" s="53"/>
      <c r="U435" s="53"/>
    </row>
    <row r="436">
      <c r="P436" s="53"/>
      <c r="R436" s="53"/>
      <c r="S436" s="53"/>
      <c r="T436" s="53"/>
      <c r="U436" s="53"/>
    </row>
    <row r="437">
      <c r="P437" s="53"/>
      <c r="R437" s="53"/>
      <c r="S437" s="53"/>
      <c r="T437" s="53"/>
      <c r="U437" s="53"/>
    </row>
    <row r="438">
      <c r="P438" s="53"/>
      <c r="R438" s="53"/>
      <c r="S438" s="53"/>
      <c r="T438" s="53"/>
      <c r="U438" s="53"/>
    </row>
    <row r="439">
      <c r="P439" s="53"/>
      <c r="R439" s="53"/>
      <c r="S439" s="53"/>
      <c r="T439" s="53"/>
      <c r="U439" s="53"/>
    </row>
    <row r="440">
      <c r="P440" s="53"/>
      <c r="R440" s="53"/>
      <c r="S440" s="53"/>
      <c r="T440" s="53"/>
      <c r="U440" s="53"/>
    </row>
    <row r="441">
      <c r="P441" s="53"/>
      <c r="R441" s="53"/>
      <c r="S441" s="53"/>
      <c r="T441" s="53"/>
      <c r="U441" s="53"/>
    </row>
    <row r="442">
      <c r="P442" s="53"/>
      <c r="R442" s="53"/>
      <c r="S442" s="53"/>
      <c r="T442" s="53"/>
      <c r="U442" s="53"/>
    </row>
    <row r="443">
      <c r="P443" s="53"/>
      <c r="R443" s="53"/>
      <c r="S443" s="53"/>
      <c r="T443" s="53"/>
      <c r="U443" s="53"/>
    </row>
    <row r="444">
      <c r="P444" s="53"/>
      <c r="R444" s="53"/>
      <c r="S444" s="53"/>
      <c r="T444" s="53"/>
      <c r="U444" s="53"/>
    </row>
    <row r="445">
      <c r="P445" s="53"/>
      <c r="R445" s="53"/>
      <c r="S445" s="53"/>
      <c r="T445" s="53"/>
      <c r="U445" s="53"/>
    </row>
    <row r="446">
      <c r="P446" s="53"/>
      <c r="R446" s="53"/>
      <c r="S446" s="53"/>
      <c r="T446" s="53"/>
      <c r="U446" s="53"/>
    </row>
    <row r="447">
      <c r="P447" s="53"/>
      <c r="R447" s="53"/>
      <c r="S447" s="53"/>
      <c r="T447" s="53"/>
      <c r="U447" s="53"/>
    </row>
    <row r="448">
      <c r="P448" s="53"/>
      <c r="R448" s="53"/>
      <c r="S448" s="53"/>
      <c r="T448" s="53"/>
      <c r="U448" s="53"/>
    </row>
    <row r="449">
      <c r="P449" s="53"/>
      <c r="R449" s="53"/>
      <c r="S449" s="53"/>
      <c r="T449" s="53"/>
      <c r="U449" s="53"/>
    </row>
    <row r="450">
      <c r="P450" s="53"/>
      <c r="R450" s="53"/>
      <c r="S450" s="53"/>
      <c r="T450" s="53"/>
      <c r="U450" s="53"/>
    </row>
    <row r="451">
      <c r="P451" s="53"/>
      <c r="R451" s="53"/>
      <c r="S451" s="53"/>
      <c r="T451" s="53"/>
      <c r="U451" s="53"/>
    </row>
    <row r="452">
      <c r="P452" s="53"/>
      <c r="R452" s="53"/>
      <c r="S452" s="53"/>
      <c r="T452" s="53"/>
      <c r="U452" s="53"/>
    </row>
    <row r="453">
      <c r="P453" s="53"/>
      <c r="R453" s="53"/>
      <c r="S453" s="53"/>
      <c r="T453" s="53"/>
      <c r="U453" s="53"/>
    </row>
    <row r="454">
      <c r="P454" s="53"/>
      <c r="R454" s="53"/>
      <c r="S454" s="53"/>
      <c r="T454" s="53"/>
      <c r="U454" s="53"/>
    </row>
    <row r="455">
      <c r="P455" s="53"/>
      <c r="R455" s="53"/>
      <c r="S455" s="53"/>
      <c r="T455" s="53"/>
      <c r="U455" s="53"/>
    </row>
    <row r="456">
      <c r="P456" s="53"/>
      <c r="R456" s="53"/>
      <c r="S456" s="53"/>
      <c r="T456" s="53"/>
      <c r="U456" s="53"/>
    </row>
    <row r="457">
      <c r="P457" s="53"/>
      <c r="R457" s="53"/>
      <c r="S457" s="53"/>
      <c r="T457" s="53"/>
      <c r="U457" s="53"/>
    </row>
    <row r="458">
      <c r="P458" s="53"/>
      <c r="R458" s="53"/>
      <c r="S458" s="53"/>
      <c r="T458" s="53"/>
      <c r="U458" s="53"/>
    </row>
    <row r="459">
      <c r="P459" s="53"/>
      <c r="R459" s="53"/>
      <c r="S459" s="53"/>
      <c r="T459" s="53"/>
      <c r="U459" s="53"/>
    </row>
    <row r="460">
      <c r="P460" s="53"/>
      <c r="R460" s="53"/>
      <c r="S460" s="53"/>
      <c r="T460" s="53"/>
      <c r="U460" s="53"/>
    </row>
    <row r="461">
      <c r="P461" s="53"/>
      <c r="R461" s="53"/>
      <c r="S461" s="53"/>
      <c r="T461" s="53"/>
      <c r="U461" s="53"/>
    </row>
    <row r="462">
      <c r="P462" s="53"/>
      <c r="R462" s="53"/>
      <c r="S462" s="53"/>
      <c r="T462" s="53"/>
      <c r="U462" s="53"/>
    </row>
    <row r="463">
      <c r="P463" s="53"/>
      <c r="R463" s="53"/>
      <c r="S463" s="53"/>
      <c r="T463" s="53"/>
      <c r="U463" s="53"/>
    </row>
    <row r="464">
      <c r="P464" s="53"/>
      <c r="R464" s="53"/>
      <c r="S464" s="53"/>
      <c r="T464" s="53"/>
      <c r="U464" s="53"/>
    </row>
    <row r="465">
      <c r="P465" s="53"/>
      <c r="R465" s="53"/>
      <c r="S465" s="53"/>
      <c r="T465" s="53"/>
      <c r="U465" s="53"/>
    </row>
    <row r="466">
      <c r="P466" s="53"/>
      <c r="R466" s="53"/>
      <c r="S466" s="53"/>
      <c r="T466" s="53"/>
      <c r="U466" s="53"/>
    </row>
    <row r="467">
      <c r="P467" s="53"/>
      <c r="R467" s="53"/>
      <c r="S467" s="53"/>
      <c r="T467" s="53"/>
      <c r="U467" s="53"/>
    </row>
    <row r="468">
      <c r="P468" s="53"/>
      <c r="R468" s="53"/>
      <c r="S468" s="53"/>
      <c r="T468" s="53"/>
      <c r="U468" s="53"/>
    </row>
    <row r="469">
      <c r="P469" s="53"/>
      <c r="R469" s="53"/>
      <c r="S469" s="53"/>
      <c r="T469" s="53"/>
      <c r="U469" s="53"/>
    </row>
    <row r="470">
      <c r="P470" s="53"/>
      <c r="R470" s="53"/>
      <c r="S470" s="53"/>
      <c r="T470" s="53"/>
      <c r="U470" s="53"/>
    </row>
    <row r="471">
      <c r="P471" s="53"/>
      <c r="R471" s="53"/>
      <c r="S471" s="53"/>
      <c r="T471" s="53"/>
      <c r="U471" s="53"/>
    </row>
    <row r="472">
      <c r="P472" s="53"/>
      <c r="R472" s="53"/>
      <c r="S472" s="53"/>
      <c r="T472" s="53"/>
      <c r="U472" s="53"/>
    </row>
    <row r="473">
      <c r="P473" s="53"/>
      <c r="R473" s="53"/>
      <c r="S473" s="53"/>
      <c r="T473" s="53"/>
      <c r="U473" s="53"/>
    </row>
    <row r="474">
      <c r="P474" s="53"/>
      <c r="R474" s="53"/>
      <c r="S474" s="53"/>
      <c r="T474" s="53"/>
      <c r="U474" s="53"/>
    </row>
    <row r="475">
      <c r="P475" s="53"/>
      <c r="R475" s="53"/>
      <c r="S475" s="53"/>
      <c r="T475" s="53"/>
      <c r="U475" s="53"/>
    </row>
    <row r="476">
      <c r="P476" s="53"/>
      <c r="R476" s="53"/>
      <c r="S476" s="53"/>
      <c r="T476" s="53"/>
      <c r="U476" s="53"/>
    </row>
    <row r="477">
      <c r="P477" s="53"/>
      <c r="R477" s="53"/>
      <c r="S477" s="53"/>
      <c r="T477" s="53"/>
      <c r="U477" s="53"/>
    </row>
    <row r="478">
      <c r="P478" s="53"/>
      <c r="R478" s="53"/>
      <c r="S478" s="53"/>
      <c r="T478" s="53"/>
      <c r="U478" s="53"/>
    </row>
    <row r="479">
      <c r="P479" s="53"/>
      <c r="R479" s="53"/>
      <c r="S479" s="53"/>
      <c r="T479" s="53"/>
      <c r="U479" s="53"/>
    </row>
    <row r="480">
      <c r="P480" s="53"/>
      <c r="R480" s="53"/>
      <c r="S480" s="53"/>
      <c r="T480" s="53"/>
      <c r="U480" s="53"/>
    </row>
    <row r="481">
      <c r="P481" s="53"/>
      <c r="R481" s="53"/>
      <c r="S481" s="53"/>
      <c r="T481" s="53"/>
      <c r="U481" s="53"/>
    </row>
    <row r="482">
      <c r="P482" s="53"/>
      <c r="R482" s="53"/>
      <c r="S482" s="53"/>
      <c r="T482" s="53"/>
      <c r="U482" s="53"/>
    </row>
    <row r="483">
      <c r="P483" s="53"/>
      <c r="R483" s="53"/>
      <c r="S483" s="53"/>
      <c r="T483" s="53"/>
      <c r="U483" s="53"/>
    </row>
    <row r="484">
      <c r="P484" s="53"/>
      <c r="R484" s="53"/>
      <c r="S484" s="53"/>
      <c r="T484" s="53"/>
      <c r="U484" s="53"/>
    </row>
    <row r="485">
      <c r="P485" s="53"/>
      <c r="R485" s="53"/>
      <c r="S485" s="53"/>
      <c r="T485" s="53"/>
      <c r="U485" s="53"/>
    </row>
    <row r="486">
      <c r="P486" s="53"/>
      <c r="R486" s="53"/>
      <c r="S486" s="53"/>
      <c r="T486" s="53"/>
      <c r="U486" s="53"/>
    </row>
    <row r="487">
      <c r="P487" s="53"/>
      <c r="R487" s="53"/>
      <c r="S487" s="53"/>
      <c r="T487" s="53"/>
      <c r="U487" s="53"/>
    </row>
    <row r="488">
      <c r="P488" s="53"/>
      <c r="R488" s="53"/>
      <c r="S488" s="53"/>
      <c r="T488" s="53"/>
      <c r="U488" s="53"/>
    </row>
    <row r="489">
      <c r="P489" s="53"/>
      <c r="R489" s="53"/>
      <c r="S489" s="53"/>
      <c r="T489" s="53"/>
      <c r="U489" s="53"/>
    </row>
    <row r="490">
      <c r="P490" s="53"/>
      <c r="R490" s="53"/>
      <c r="S490" s="53"/>
      <c r="T490" s="53"/>
      <c r="U490" s="53"/>
    </row>
    <row r="491">
      <c r="P491" s="53"/>
      <c r="R491" s="53"/>
      <c r="S491" s="53"/>
      <c r="T491" s="53"/>
      <c r="U491" s="53"/>
    </row>
    <row r="492">
      <c r="P492" s="53"/>
      <c r="R492" s="53"/>
      <c r="S492" s="53"/>
      <c r="T492" s="53"/>
      <c r="U492" s="53"/>
    </row>
    <row r="493">
      <c r="P493" s="53"/>
      <c r="R493" s="53"/>
      <c r="S493" s="53"/>
      <c r="T493" s="53"/>
      <c r="U493" s="53"/>
    </row>
    <row r="494">
      <c r="P494" s="53"/>
      <c r="R494" s="53"/>
      <c r="S494" s="53"/>
      <c r="T494" s="53"/>
      <c r="U494" s="53"/>
    </row>
    <row r="495">
      <c r="P495" s="53"/>
      <c r="R495" s="53"/>
      <c r="S495" s="53"/>
      <c r="T495" s="53"/>
      <c r="U495" s="53"/>
    </row>
    <row r="496">
      <c r="P496" s="53"/>
      <c r="R496" s="53"/>
      <c r="S496" s="53"/>
      <c r="T496" s="53"/>
      <c r="U496" s="53"/>
    </row>
    <row r="497">
      <c r="P497" s="53"/>
      <c r="R497" s="53"/>
      <c r="S497" s="53"/>
      <c r="T497" s="53"/>
      <c r="U497" s="53"/>
    </row>
    <row r="498">
      <c r="P498" s="53"/>
      <c r="R498" s="53"/>
      <c r="S498" s="53"/>
      <c r="T498" s="53"/>
      <c r="U498" s="53"/>
    </row>
    <row r="499">
      <c r="P499" s="53"/>
      <c r="R499" s="53"/>
      <c r="S499" s="53"/>
      <c r="T499" s="53"/>
      <c r="U499" s="53"/>
    </row>
    <row r="500">
      <c r="P500" s="53"/>
      <c r="R500" s="53"/>
      <c r="S500" s="53"/>
      <c r="T500" s="53"/>
      <c r="U500" s="53"/>
    </row>
    <row r="501">
      <c r="P501" s="53"/>
      <c r="R501" s="53"/>
      <c r="S501" s="53"/>
      <c r="T501" s="53"/>
      <c r="U501" s="53"/>
    </row>
    <row r="502">
      <c r="P502" s="53"/>
      <c r="R502" s="53"/>
      <c r="S502" s="53"/>
      <c r="T502" s="53"/>
      <c r="U502" s="53"/>
    </row>
    <row r="503">
      <c r="P503" s="53"/>
      <c r="R503" s="53"/>
      <c r="S503" s="53"/>
      <c r="T503" s="53"/>
      <c r="U503" s="53"/>
    </row>
    <row r="504">
      <c r="P504" s="53"/>
      <c r="R504" s="53"/>
      <c r="S504" s="53"/>
      <c r="T504" s="53"/>
      <c r="U504" s="53"/>
    </row>
    <row r="505">
      <c r="P505" s="53"/>
      <c r="R505" s="53"/>
      <c r="S505" s="53"/>
      <c r="T505" s="53"/>
      <c r="U505" s="53"/>
    </row>
    <row r="506">
      <c r="P506" s="53"/>
      <c r="R506" s="53"/>
      <c r="S506" s="53"/>
      <c r="T506" s="53"/>
      <c r="U506" s="53"/>
    </row>
    <row r="507">
      <c r="P507" s="53"/>
      <c r="R507" s="53"/>
      <c r="S507" s="53"/>
      <c r="T507" s="53"/>
      <c r="U507" s="53"/>
    </row>
    <row r="508">
      <c r="P508" s="53"/>
      <c r="R508" s="53"/>
      <c r="S508" s="53"/>
      <c r="T508" s="53"/>
      <c r="U508" s="53"/>
    </row>
    <row r="509">
      <c r="P509" s="53"/>
      <c r="R509" s="53"/>
      <c r="S509" s="53"/>
      <c r="T509" s="53"/>
      <c r="U509" s="53"/>
    </row>
    <row r="510">
      <c r="P510" s="53"/>
      <c r="R510" s="53"/>
      <c r="S510" s="53"/>
      <c r="T510" s="53"/>
      <c r="U510" s="53"/>
    </row>
    <row r="511">
      <c r="P511" s="53"/>
      <c r="R511" s="53"/>
      <c r="S511" s="53"/>
      <c r="T511" s="53"/>
      <c r="U511" s="53"/>
    </row>
    <row r="512">
      <c r="P512" s="53"/>
      <c r="R512" s="53"/>
      <c r="S512" s="53"/>
      <c r="T512" s="53"/>
      <c r="U512" s="53"/>
    </row>
    <row r="513">
      <c r="P513" s="53"/>
      <c r="R513" s="53"/>
      <c r="S513" s="53"/>
      <c r="T513" s="53"/>
      <c r="U513" s="53"/>
    </row>
    <row r="514">
      <c r="P514" s="53"/>
      <c r="R514" s="53"/>
      <c r="S514" s="53"/>
      <c r="T514" s="53"/>
      <c r="U514" s="53"/>
    </row>
    <row r="515">
      <c r="P515" s="53"/>
      <c r="R515" s="53"/>
      <c r="S515" s="53"/>
      <c r="T515" s="53"/>
      <c r="U515" s="53"/>
    </row>
    <row r="516">
      <c r="P516" s="53"/>
      <c r="R516" s="53"/>
      <c r="S516" s="53"/>
      <c r="T516" s="53"/>
      <c r="U516" s="53"/>
    </row>
    <row r="517">
      <c r="P517" s="53"/>
      <c r="R517" s="53"/>
      <c r="S517" s="53"/>
      <c r="T517" s="53"/>
      <c r="U517" s="53"/>
    </row>
    <row r="518">
      <c r="P518" s="53"/>
      <c r="R518" s="53"/>
      <c r="S518" s="53"/>
      <c r="T518" s="53"/>
      <c r="U518" s="53"/>
    </row>
    <row r="519">
      <c r="P519" s="53"/>
      <c r="R519" s="53"/>
      <c r="S519" s="53"/>
      <c r="T519" s="53"/>
      <c r="U519" s="53"/>
    </row>
    <row r="520">
      <c r="P520" s="53"/>
      <c r="R520" s="53"/>
      <c r="S520" s="53"/>
      <c r="T520" s="53"/>
      <c r="U520" s="53"/>
    </row>
    <row r="521">
      <c r="P521" s="53"/>
      <c r="R521" s="53"/>
      <c r="S521" s="53"/>
      <c r="T521" s="53"/>
      <c r="U521" s="53"/>
    </row>
    <row r="522">
      <c r="P522" s="53"/>
      <c r="R522" s="53"/>
      <c r="S522" s="53"/>
      <c r="T522" s="53"/>
      <c r="U522" s="53"/>
    </row>
    <row r="523">
      <c r="P523" s="53"/>
      <c r="R523" s="53"/>
      <c r="S523" s="53"/>
      <c r="T523" s="53"/>
      <c r="U523" s="53"/>
    </row>
    <row r="524">
      <c r="P524" s="53"/>
      <c r="R524" s="53"/>
      <c r="S524" s="53"/>
      <c r="T524" s="53"/>
      <c r="U524" s="53"/>
    </row>
    <row r="525">
      <c r="P525" s="53"/>
      <c r="R525" s="53"/>
      <c r="S525" s="53"/>
      <c r="T525" s="53"/>
      <c r="U525" s="53"/>
    </row>
    <row r="526">
      <c r="P526" s="53"/>
      <c r="R526" s="53"/>
      <c r="S526" s="53"/>
      <c r="T526" s="53"/>
      <c r="U526" s="53"/>
    </row>
    <row r="527">
      <c r="P527" s="53"/>
      <c r="R527" s="53"/>
      <c r="S527" s="53"/>
      <c r="T527" s="53"/>
      <c r="U527" s="53"/>
    </row>
    <row r="528">
      <c r="P528" s="53"/>
      <c r="R528" s="53"/>
      <c r="S528" s="53"/>
      <c r="T528" s="53"/>
      <c r="U528" s="53"/>
    </row>
    <row r="529">
      <c r="P529" s="53"/>
      <c r="R529" s="53"/>
      <c r="S529" s="53"/>
      <c r="T529" s="53"/>
      <c r="U529" s="53"/>
    </row>
    <row r="530">
      <c r="P530" s="53"/>
      <c r="R530" s="53"/>
      <c r="S530" s="53"/>
      <c r="T530" s="53"/>
      <c r="U530" s="53"/>
    </row>
    <row r="531">
      <c r="P531" s="53"/>
      <c r="R531" s="53"/>
      <c r="S531" s="53"/>
      <c r="T531" s="53"/>
      <c r="U531" s="53"/>
    </row>
    <row r="532">
      <c r="P532" s="53"/>
      <c r="R532" s="53"/>
      <c r="S532" s="53"/>
      <c r="T532" s="53"/>
      <c r="U532" s="53"/>
    </row>
    <row r="533">
      <c r="P533" s="53"/>
      <c r="R533" s="53"/>
      <c r="S533" s="53"/>
      <c r="T533" s="53"/>
      <c r="U533" s="53"/>
    </row>
    <row r="534">
      <c r="P534" s="53"/>
      <c r="R534" s="53"/>
      <c r="S534" s="53"/>
      <c r="T534" s="53"/>
      <c r="U534" s="53"/>
    </row>
    <row r="535">
      <c r="P535" s="53"/>
      <c r="R535" s="53"/>
      <c r="S535" s="53"/>
      <c r="T535" s="53"/>
      <c r="U535" s="53"/>
    </row>
    <row r="536">
      <c r="P536" s="53"/>
      <c r="R536" s="53"/>
      <c r="S536" s="53"/>
      <c r="T536" s="53"/>
      <c r="U536" s="53"/>
    </row>
    <row r="537">
      <c r="P537" s="53"/>
      <c r="R537" s="53"/>
      <c r="S537" s="53"/>
      <c r="T537" s="53"/>
      <c r="U537" s="53"/>
    </row>
    <row r="538">
      <c r="P538" s="53"/>
      <c r="R538" s="53"/>
      <c r="S538" s="53"/>
      <c r="T538" s="53"/>
      <c r="U538" s="53"/>
    </row>
    <row r="539">
      <c r="P539" s="53"/>
      <c r="R539" s="53"/>
      <c r="S539" s="53"/>
      <c r="T539" s="53"/>
      <c r="U539" s="53"/>
    </row>
    <row r="540">
      <c r="P540" s="53"/>
      <c r="R540" s="53"/>
      <c r="S540" s="53"/>
      <c r="T540" s="53"/>
      <c r="U540" s="53"/>
    </row>
    <row r="541">
      <c r="P541" s="53"/>
      <c r="R541" s="53"/>
      <c r="S541" s="53"/>
      <c r="T541" s="53"/>
      <c r="U541" s="53"/>
    </row>
    <row r="542">
      <c r="P542" s="53"/>
      <c r="R542" s="53"/>
      <c r="S542" s="53"/>
      <c r="T542" s="53"/>
      <c r="U542" s="53"/>
    </row>
    <row r="543">
      <c r="P543" s="53"/>
      <c r="R543" s="53"/>
      <c r="S543" s="53"/>
      <c r="T543" s="53"/>
      <c r="U543" s="53"/>
    </row>
    <row r="544">
      <c r="P544" s="53"/>
      <c r="R544" s="53"/>
      <c r="S544" s="53"/>
      <c r="T544" s="53"/>
      <c r="U544" s="53"/>
    </row>
    <row r="545">
      <c r="P545" s="53"/>
      <c r="R545" s="53"/>
      <c r="S545" s="53"/>
      <c r="T545" s="53"/>
      <c r="U545" s="53"/>
    </row>
    <row r="546">
      <c r="P546" s="53"/>
      <c r="R546" s="53"/>
      <c r="S546" s="53"/>
      <c r="T546" s="53"/>
      <c r="U546" s="53"/>
    </row>
    <row r="547">
      <c r="P547" s="53"/>
      <c r="R547" s="53"/>
      <c r="S547" s="53"/>
      <c r="T547" s="53"/>
      <c r="U547" s="53"/>
    </row>
    <row r="548">
      <c r="P548" s="53"/>
      <c r="R548" s="53"/>
      <c r="S548" s="53"/>
      <c r="T548" s="53"/>
      <c r="U548" s="53"/>
    </row>
    <row r="549">
      <c r="P549" s="53"/>
      <c r="R549" s="53"/>
      <c r="S549" s="53"/>
      <c r="T549" s="53"/>
      <c r="U549" s="53"/>
    </row>
    <row r="550">
      <c r="P550" s="53"/>
      <c r="R550" s="53"/>
      <c r="S550" s="53"/>
      <c r="T550" s="53"/>
      <c r="U550" s="53"/>
    </row>
    <row r="551">
      <c r="P551" s="53"/>
      <c r="R551" s="53"/>
      <c r="S551" s="53"/>
      <c r="T551" s="53"/>
      <c r="U551" s="53"/>
    </row>
    <row r="552">
      <c r="P552" s="53"/>
      <c r="R552" s="53"/>
      <c r="S552" s="53"/>
      <c r="T552" s="53"/>
      <c r="U552" s="53"/>
    </row>
    <row r="553">
      <c r="P553" s="53"/>
      <c r="R553" s="53"/>
      <c r="S553" s="53"/>
      <c r="T553" s="53"/>
      <c r="U553" s="53"/>
    </row>
    <row r="554">
      <c r="P554" s="53"/>
      <c r="R554" s="53"/>
      <c r="S554" s="53"/>
      <c r="T554" s="53"/>
      <c r="U554" s="53"/>
    </row>
    <row r="555">
      <c r="P555" s="53"/>
      <c r="R555" s="53"/>
      <c r="S555" s="53"/>
      <c r="T555" s="53"/>
      <c r="U555" s="53"/>
    </row>
    <row r="556">
      <c r="P556" s="53"/>
      <c r="R556" s="53"/>
      <c r="S556" s="53"/>
      <c r="T556" s="53"/>
      <c r="U556" s="53"/>
    </row>
    <row r="557">
      <c r="P557" s="53"/>
      <c r="R557" s="53"/>
      <c r="S557" s="53"/>
      <c r="T557" s="53"/>
      <c r="U557" s="53"/>
    </row>
    <row r="558">
      <c r="P558" s="53"/>
      <c r="R558" s="53"/>
      <c r="S558" s="53"/>
      <c r="T558" s="53"/>
      <c r="U558" s="53"/>
    </row>
    <row r="559">
      <c r="P559" s="53"/>
      <c r="R559" s="53"/>
      <c r="S559" s="53"/>
      <c r="T559" s="53"/>
      <c r="U559" s="53"/>
    </row>
    <row r="560">
      <c r="P560" s="53"/>
      <c r="R560" s="53"/>
      <c r="S560" s="53"/>
      <c r="T560" s="53"/>
      <c r="U560" s="53"/>
    </row>
    <row r="561">
      <c r="P561" s="53"/>
      <c r="R561" s="53"/>
      <c r="S561" s="53"/>
      <c r="T561" s="53"/>
      <c r="U561" s="53"/>
    </row>
    <row r="562">
      <c r="P562" s="53"/>
      <c r="R562" s="53"/>
      <c r="S562" s="53"/>
      <c r="T562" s="53"/>
      <c r="U562" s="53"/>
    </row>
    <row r="563">
      <c r="P563" s="53"/>
      <c r="R563" s="53"/>
      <c r="S563" s="53"/>
      <c r="T563" s="53"/>
      <c r="U563" s="53"/>
    </row>
    <row r="564">
      <c r="P564" s="53"/>
      <c r="R564" s="53"/>
      <c r="S564" s="53"/>
      <c r="T564" s="53"/>
      <c r="U564" s="53"/>
    </row>
    <row r="565">
      <c r="P565" s="53"/>
      <c r="R565" s="53"/>
      <c r="S565" s="53"/>
      <c r="T565" s="53"/>
      <c r="U565" s="53"/>
    </row>
    <row r="566">
      <c r="P566" s="53"/>
      <c r="R566" s="53"/>
      <c r="S566" s="53"/>
      <c r="T566" s="53"/>
      <c r="U566" s="53"/>
    </row>
    <row r="567">
      <c r="P567" s="53"/>
      <c r="R567" s="53"/>
      <c r="S567" s="53"/>
      <c r="T567" s="53"/>
      <c r="U567" s="53"/>
    </row>
    <row r="568">
      <c r="P568" s="53"/>
      <c r="R568" s="53"/>
      <c r="S568" s="53"/>
      <c r="T568" s="53"/>
      <c r="U568" s="53"/>
    </row>
    <row r="569">
      <c r="P569" s="53"/>
      <c r="R569" s="53"/>
      <c r="S569" s="53"/>
      <c r="T569" s="53"/>
      <c r="U569" s="53"/>
    </row>
    <row r="570">
      <c r="P570" s="53"/>
      <c r="R570" s="53"/>
      <c r="S570" s="53"/>
      <c r="T570" s="53"/>
      <c r="U570" s="53"/>
    </row>
    <row r="571">
      <c r="P571" s="53"/>
      <c r="R571" s="53"/>
      <c r="S571" s="53"/>
      <c r="T571" s="53"/>
      <c r="U571" s="53"/>
    </row>
    <row r="572">
      <c r="P572" s="53"/>
      <c r="R572" s="53"/>
      <c r="S572" s="53"/>
      <c r="T572" s="53"/>
      <c r="U572" s="53"/>
    </row>
    <row r="573">
      <c r="P573" s="53"/>
      <c r="R573" s="53"/>
      <c r="S573" s="53"/>
      <c r="T573" s="53"/>
      <c r="U573" s="53"/>
    </row>
    <row r="574">
      <c r="P574" s="53"/>
      <c r="R574" s="53"/>
      <c r="S574" s="53"/>
      <c r="T574" s="53"/>
      <c r="U574" s="53"/>
    </row>
    <row r="575">
      <c r="P575" s="53"/>
      <c r="R575" s="53"/>
      <c r="S575" s="53"/>
      <c r="T575" s="53"/>
      <c r="U575" s="53"/>
    </row>
    <row r="576">
      <c r="P576" s="53"/>
      <c r="R576" s="53"/>
      <c r="S576" s="53"/>
      <c r="T576" s="53"/>
      <c r="U576" s="53"/>
    </row>
    <row r="577">
      <c r="P577" s="53"/>
      <c r="R577" s="53"/>
      <c r="S577" s="53"/>
      <c r="T577" s="53"/>
      <c r="U577" s="53"/>
    </row>
    <row r="578">
      <c r="P578" s="53"/>
      <c r="R578" s="53"/>
      <c r="S578" s="53"/>
      <c r="T578" s="53"/>
      <c r="U578" s="53"/>
    </row>
    <row r="579">
      <c r="P579" s="53"/>
      <c r="R579" s="53"/>
      <c r="S579" s="53"/>
      <c r="T579" s="53"/>
      <c r="U579" s="53"/>
    </row>
    <row r="580">
      <c r="P580" s="53"/>
      <c r="R580" s="53"/>
      <c r="S580" s="53"/>
      <c r="T580" s="53"/>
      <c r="U580" s="53"/>
    </row>
    <row r="581">
      <c r="P581" s="53"/>
      <c r="R581" s="53"/>
      <c r="S581" s="53"/>
      <c r="T581" s="53"/>
      <c r="U581" s="53"/>
    </row>
    <row r="582">
      <c r="P582" s="53"/>
      <c r="R582" s="53"/>
      <c r="S582" s="53"/>
      <c r="T582" s="53"/>
      <c r="U582" s="53"/>
    </row>
    <row r="583">
      <c r="P583" s="53"/>
      <c r="R583" s="53"/>
      <c r="S583" s="53"/>
      <c r="T583" s="53"/>
      <c r="U583" s="53"/>
    </row>
    <row r="584">
      <c r="P584" s="53"/>
      <c r="R584" s="53"/>
      <c r="S584" s="53"/>
      <c r="T584" s="53"/>
      <c r="U584" s="53"/>
    </row>
    <row r="585">
      <c r="P585" s="53"/>
      <c r="R585" s="53"/>
      <c r="S585" s="53"/>
      <c r="T585" s="53"/>
      <c r="U585" s="53"/>
    </row>
    <row r="586">
      <c r="P586" s="53"/>
      <c r="R586" s="53"/>
      <c r="S586" s="53"/>
      <c r="T586" s="53"/>
      <c r="U586" s="53"/>
    </row>
    <row r="587">
      <c r="P587" s="53"/>
      <c r="R587" s="53"/>
      <c r="S587" s="53"/>
      <c r="T587" s="53"/>
      <c r="U587" s="53"/>
    </row>
    <row r="588">
      <c r="P588" s="53"/>
      <c r="R588" s="53"/>
      <c r="S588" s="53"/>
      <c r="T588" s="53"/>
      <c r="U588" s="53"/>
    </row>
    <row r="589">
      <c r="P589" s="53"/>
      <c r="R589" s="53"/>
      <c r="S589" s="53"/>
      <c r="T589" s="53"/>
      <c r="U589" s="53"/>
    </row>
    <row r="590">
      <c r="P590" s="53"/>
      <c r="R590" s="53"/>
      <c r="S590" s="53"/>
      <c r="T590" s="53"/>
      <c r="U590" s="53"/>
    </row>
    <row r="591">
      <c r="P591" s="53"/>
      <c r="R591" s="53"/>
      <c r="S591" s="53"/>
      <c r="T591" s="53"/>
      <c r="U591" s="53"/>
    </row>
    <row r="592">
      <c r="P592" s="53"/>
      <c r="R592" s="53"/>
      <c r="S592" s="53"/>
      <c r="T592" s="53"/>
      <c r="U592" s="53"/>
    </row>
    <row r="593">
      <c r="P593" s="53"/>
      <c r="R593" s="53"/>
      <c r="S593" s="53"/>
      <c r="T593" s="53"/>
      <c r="U593" s="53"/>
    </row>
    <row r="594">
      <c r="P594" s="53"/>
      <c r="R594" s="53"/>
      <c r="S594" s="53"/>
      <c r="T594" s="53"/>
      <c r="U594" s="53"/>
    </row>
    <row r="595">
      <c r="P595" s="53"/>
      <c r="R595" s="53"/>
      <c r="S595" s="53"/>
      <c r="T595" s="53"/>
      <c r="U595" s="53"/>
    </row>
    <row r="596">
      <c r="P596" s="53"/>
      <c r="R596" s="53"/>
      <c r="S596" s="53"/>
      <c r="T596" s="53"/>
      <c r="U596" s="53"/>
    </row>
    <row r="597">
      <c r="P597" s="53"/>
      <c r="R597" s="53"/>
      <c r="S597" s="53"/>
      <c r="T597" s="53"/>
      <c r="U597" s="53"/>
    </row>
    <row r="598">
      <c r="P598" s="53"/>
      <c r="R598" s="53"/>
      <c r="S598" s="53"/>
      <c r="T598" s="53"/>
      <c r="U598" s="53"/>
    </row>
    <row r="599">
      <c r="P599" s="53"/>
      <c r="R599" s="53"/>
      <c r="S599" s="53"/>
      <c r="T599" s="53"/>
      <c r="U599" s="53"/>
    </row>
    <row r="600">
      <c r="P600" s="53"/>
      <c r="R600" s="53"/>
      <c r="S600" s="53"/>
      <c r="T600" s="53"/>
      <c r="U600" s="53"/>
    </row>
    <row r="601">
      <c r="P601" s="53"/>
      <c r="R601" s="53"/>
      <c r="S601" s="53"/>
      <c r="T601" s="53"/>
      <c r="U601" s="53"/>
    </row>
    <row r="602">
      <c r="P602" s="53"/>
      <c r="R602" s="53"/>
      <c r="S602" s="53"/>
      <c r="T602" s="53"/>
      <c r="U602" s="53"/>
    </row>
    <row r="603">
      <c r="P603" s="53"/>
      <c r="R603" s="53"/>
      <c r="S603" s="53"/>
      <c r="T603" s="53"/>
      <c r="U603" s="53"/>
    </row>
    <row r="604">
      <c r="P604" s="53"/>
      <c r="R604" s="53"/>
      <c r="S604" s="53"/>
      <c r="T604" s="53"/>
      <c r="U604" s="53"/>
    </row>
    <row r="605">
      <c r="P605" s="53"/>
      <c r="R605" s="53"/>
      <c r="S605" s="53"/>
      <c r="T605" s="53"/>
      <c r="U605" s="53"/>
    </row>
    <row r="606">
      <c r="P606" s="53"/>
      <c r="R606" s="53"/>
      <c r="S606" s="53"/>
      <c r="T606" s="53"/>
      <c r="U606" s="53"/>
    </row>
    <row r="607">
      <c r="P607" s="53"/>
      <c r="R607" s="53"/>
      <c r="S607" s="53"/>
      <c r="T607" s="53"/>
      <c r="U607" s="53"/>
    </row>
    <row r="608">
      <c r="P608" s="53"/>
      <c r="R608" s="53"/>
      <c r="S608" s="53"/>
      <c r="T608" s="53"/>
      <c r="U608" s="53"/>
    </row>
    <row r="609">
      <c r="P609" s="53"/>
      <c r="R609" s="53"/>
      <c r="S609" s="53"/>
      <c r="T609" s="53"/>
      <c r="U609" s="53"/>
    </row>
    <row r="610">
      <c r="P610" s="53"/>
      <c r="R610" s="53"/>
      <c r="S610" s="53"/>
      <c r="T610" s="53"/>
      <c r="U610" s="53"/>
    </row>
    <row r="611">
      <c r="P611" s="53"/>
      <c r="R611" s="53"/>
      <c r="S611" s="53"/>
      <c r="T611" s="53"/>
      <c r="U611" s="53"/>
    </row>
    <row r="612">
      <c r="P612" s="53"/>
      <c r="R612" s="53"/>
      <c r="S612" s="53"/>
      <c r="T612" s="53"/>
      <c r="U612" s="53"/>
    </row>
    <row r="613">
      <c r="P613" s="53"/>
      <c r="R613" s="53"/>
      <c r="S613" s="53"/>
      <c r="T613" s="53"/>
      <c r="U613" s="53"/>
    </row>
    <row r="614">
      <c r="P614" s="53"/>
      <c r="R614" s="53"/>
      <c r="S614" s="53"/>
      <c r="T614" s="53"/>
      <c r="U614" s="53"/>
    </row>
    <row r="615">
      <c r="P615" s="53"/>
      <c r="R615" s="53"/>
      <c r="S615" s="53"/>
      <c r="T615" s="53"/>
      <c r="U615" s="53"/>
    </row>
    <row r="616">
      <c r="P616" s="53"/>
      <c r="R616" s="53"/>
      <c r="S616" s="53"/>
      <c r="T616" s="53"/>
      <c r="U616" s="53"/>
    </row>
    <row r="617">
      <c r="P617" s="53"/>
      <c r="R617" s="53"/>
      <c r="S617" s="53"/>
      <c r="T617" s="53"/>
      <c r="U617" s="53"/>
    </row>
    <row r="618">
      <c r="P618" s="53"/>
      <c r="R618" s="53"/>
      <c r="S618" s="53"/>
      <c r="T618" s="53"/>
      <c r="U618" s="53"/>
    </row>
    <row r="619">
      <c r="P619" s="53"/>
      <c r="R619" s="53"/>
      <c r="S619" s="53"/>
      <c r="T619" s="53"/>
      <c r="U619" s="53"/>
    </row>
    <row r="620">
      <c r="P620" s="53"/>
      <c r="R620" s="53"/>
      <c r="S620" s="53"/>
      <c r="T620" s="53"/>
      <c r="U620" s="53"/>
    </row>
    <row r="621">
      <c r="P621" s="53"/>
      <c r="R621" s="53"/>
      <c r="S621" s="53"/>
      <c r="T621" s="53"/>
      <c r="U621" s="53"/>
    </row>
    <row r="622">
      <c r="P622" s="53"/>
      <c r="R622" s="53"/>
      <c r="S622" s="53"/>
      <c r="T622" s="53"/>
      <c r="U622" s="53"/>
    </row>
    <row r="623">
      <c r="P623" s="53"/>
      <c r="R623" s="53"/>
      <c r="S623" s="53"/>
      <c r="T623" s="53"/>
      <c r="U623" s="53"/>
    </row>
    <row r="624">
      <c r="P624" s="53"/>
      <c r="R624" s="53"/>
      <c r="S624" s="53"/>
      <c r="T624" s="53"/>
      <c r="U624" s="53"/>
    </row>
    <row r="625">
      <c r="P625" s="53"/>
      <c r="R625" s="53"/>
      <c r="S625" s="53"/>
      <c r="T625" s="53"/>
      <c r="U625" s="53"/>
    </row>
    <row r="626">
      <c r="P626" s="53"/>
      <c r="R626" s="53"/>
      <c r="S626" s="53"/>
      <c r="T626" s="53"/>
      <c r="U626" s="53"/>
    </row>
    <row r="627">
      <c r="P627" s="53"/>
      <c r="R627" s="53"/>
      <c r="S627" s="53"/>
      <c r="T627" s="53"/>
      <c r="U627" s="53"/>
    </row>
    <row r="628">
      <c r="P628" s="53"/>
      <c r="R628" s="53"/>
      <c r="S628" s="53"/>
      <c r="T628" s="53"/>
      <c r="U628" s="53"/>
    </row>
    <row r="629">
      <c r="P629" s="53"/>
      <c r="R629" s="53"/>
      <c r="S629" s="53"/>
      <c r="T629" s="53"/>
      <c r="U629" s="53"/>
    </row>
    <row r="630">
      <c r="P630" s="53"/>
      <c r="R630" s="53"/>
      <c r="S630" s="53"/>
      <c r="T630" s="53"/>
      <c r="U630" s="53"/>
    </row>
    <row r="631">
      <c r="P631" s="53"/>
      <c r="R631" s="53"/>
      <c r="S631" s="53"/>
      <c r="T631" s="53"/>
      <c r="U631" s="53"/>
    </row>
    <row r="632">
      <c r="P632" s="53"/>
      <c r="R632" s="53"/>
      <c r="S632" s="53"/>
      <c r="T632" s="53"/>
      <c r="U632" s="53"/>
    </row>
    <row r="633">
      <c r="P633" s="53"/>
      <c r="R633" s="53"/>
      <c r="S633" s="53"/>
      <c r="T633" s="53"/>
      <c r="U633" s="53"/>
    </row>
    <row r="634">
      <c r="P634" s="53"/>
      <c r="R634" s="53"/>
      <c r="S634" s="53"/>
      <c r="T634" s="53"/>
      <c r="U634" s="53"/>
    </row>
    <row r="635">
      <c r="P635" s="53"/>
      <c r="R635" s="53"/>
      <c r="S635" s="53"/>
      <c r="T635" s="53"/>
      <c r="U635" s="53"/>
    </row>
    <row r="636">
      <c r="P636" s="53"/>
      <c r="R636" s="53"/>
      <c r="S636" s="53"/>
      <c r="T636" s="53"/>
      <c r="U636" s="53"/>
    </row>
    <row r="637">
      <c r="P637" s="53"/>
      <c r="R637" s="53"/>
      <c r="S637" s="53"/>
      <c r="T637" s="53"/>
      <c r="U637" s="53"/>
    </row>
    <row r="638">
      <c r="P638" s="53"/>
      <c r="R638" s="53"/>
      <c r="S638" s="53"/>
      <c r="T638" s="53"/>
      <c r="U638" s="53"/>
    </row>
    <row r="639">
      <c r="P639" s="53"/>
      <c r="R639" s="53"/>
      <c r="S639" s="53"/>
      <c r="T639" s="53"/>
      <c r="U639" s="53"/>
    </row>
    <row r="640">
      <c r="P640" s="53"/>
      <c r="R640" s="53"/>
      <c r="S640" s="53"/>
      <c r="T640" s="53"/>
      <c r="U640" s="53"/>
    </row>
    <row r="641">
      <c r="P641" s="53"/>
      <c r="R641" s="53"/>
      <c r="S641" s="53"/>
      <c r="T641" s="53"/>
      <c r="U641" s="53"/>
    </row>
    <row r="642">
      <c r="P642" s="53"/>
      <c r="R642" s="53"/>
      <c r="S642" s="53"/>
      <c r="T642" s="53"/>
      <c r="U642" s="53"/>
    </row>
    <row r="643">
      <c r="P643" s="53"/>
      <c r="R643" s="53"/>
      <c r="S643" s="53"/>
      <c r="T643" s="53"/>
      <c r="U643" s="53"/>
    </row>
    <row r="644">
      <c r="P644" s="53"/>
      <c r="R644" s="53"/>
      <c r="S644" s="53"/>
      <c r="T644" s="53"/>
      <c r="U644" s="53"/>
    </row>
    <row r="645">
      <c r="P645" s="53"/>
      <c r="R645" s="53"/>
      <c r="S645" s="53"/>
      <c r="T645" s="53"/>
      <c r="U645" s="53"/>
    </row>
    <row r="646">
      <c r="P646" s="53"/>
      <c r="R646" s="53"/>
      <c r="S646" s="53"/>
      <c r="T646" s="53"/>
      <c r="U646" s="53"/>
    </row>
    <row r="647">
      <c r="P647" s="53"/>
      <c r="R647" s="53"/>
      <c r="S647" s="53"/>
      <c r="T647" s="53"/>
      <c r="U647" s="53"/>
    </row>
    <row r="648">
      <c r="P648" s="53"/>
      <c r="R648" s="53"/>
      <c r="S648" s="53"/>
      <c r="T648" s="53"/>
      <c r="U648" s="53"/>
    </row>
    <row r="649">
      <c r="P649" s="53"/>
      <c r="R649" s="53"/>
      <c r="S649" s="53"/>
      <c r="T649" s="53"/>
      <c r="U649" s="53"/>
    </row>
    <row r="650">
      <c r="P650" s="53"/>
      <c r="R650" s="53"/>
      <c r="S650" s="53"/>
      <c r="T650" s="53"/>
      <c r="U650" s="53"/>
    </row>
    <row r="651">
      <c r="P651" s="53"/>
      <c r="R651" s="53"/>
      <c r="S651" s="53"/>
      <c r="T651" s="53"/>
      <c r="U651" s="53"/>
    </row>
    <row r="652">
      <c r="P652" s="53"/>
      <c r="R652" s="53"/>
      <c r="S652" s="53"/>
      <c r="T652" s="53"/>
      <c r="U652" s="53"/>
    </row>
    <row r="653">
      <c r="P653" s="53"/>
      <c r="R653" s="53"/>
      <c r="S653" s="53"/>
      <c r="T653" s="53"/>
      <c r="U653" s="53"/>
    </row>
    <row r="654">
      <c r="P654" s="53"/>
      <c r="R654" s="53"/>
      <c r="S654" s="53"/>
      <c r="T654" s="53"/>
      <c r="U654" s="53"/>
    </row>
    <row r="655">
      <c r="P655" s="53"/>
      <c r="R655" s="53"/>
      <c r="S655" s="53"/>
      <c r="T655" s="53"/>
      <c r="U655" s="53"/>
    </row>
    <row r="656">
      <c r="P656" s="53"/>
      <c r="R656" s="53"/>
      <c r="S656" s="53"/>
      <c r="T656" s="53"/>
      <c r="U656" s="53"/>
    </row>
    <row r="657">
      <c r="P657" s="53"/>
      <c r="R657" s="53"/>
      <c r="S657" s="53"/>
      <c r="T657" s="53"/>
      <c r="U657" s="53"/>
    </row>
    <row r="658">
      <c r="P658" s="53"/>
      <c r="R658" s="53"/>
      <c r="S658" s="53"/>
      <c r="T658" s="53"/>
      <c r="U658" s="53"/>
    </row>
    <row r="659">
      <c r="P659" s="53"/>
      <c r="R659" s="53"/>
      <c r="S659" s="53"/>
      <c r="T659" s="53"/>
      <c r="U659" s="53"/>
    </row>
    <row r="660">
      <c r="P660" s="53"/>
      <c r="R660" s="53"/>
      <c r="S660" s="53"/>
      <c r="T660" s="53"/>
      <c r="U660" s="53"/>
    </row>
    <row r="661">
      <c r="P661" s="53"/>
      <c r="R661" s="53"/>
      <c r="S661" s="53"/>
      <c r="T661" s="53"/>
      <c r="U661" s="53"/>
    </row>
    <row r="662">
      <c r="P662" s="53"/>
      <c r="R662" s="53"/>
      <c r="S662" s="53"/>
      <c r="T662" s="53"/>
      <c r="U662" s="53"/>
    </row>
    <row r="663">
      <c r="P663" s="53"/>
      <c r="R663" s="53"/>
      <c r="S663" s="53"/>
      <c r="T663" s="53"/>
      <c r="U663" s="53"/>
    </row>
    <row r="664">
      <c r="P664" s="53"/>
      <c r="R664" s="53"/>
      <c r="S664" s="53"/>
      <c r="T664" s="53"/>
      <c r="U664" s="53"/>
    </row>
    <row r="665">
      <c r="P665" s="53"/>
      <c r="R665" s="53"/>
      <c r="S665" s="53"/>
      <c r="T665" s="53"/>
      <c r="U665" s="53"/>
    </row>
    <row r="666">
      <c r="P666" s="53"/>
      <c r="R666" s="53"/>
      <c r="S666" s="53"/>
      <c r="T666" s="53"/>
      <c r="U666" s="53"/>
    </row>
    <row r="667">
      <c r="P667" s="53"/>
      <c r="R667" s="53"/>
      <c r="S667" s="53"/>
      <c r="T667" s="53"/>
      <c r="U667" s="53"/>
    </row>
    <row r="668">
      <c r="P668" s="53"/>
      <c r="R668" s="53"/>
      <c r="S668" s="53"/>
      <c r="T668" s="53"/>
      <c r="U668" s="53"/>
    </row>
    <row r="669">
      <c r="P669" s="53"/>
      <c r="R669" s="53"/>
      <c r="S669" s="53"/>
      <c r="T669" s="53"/>
      <c r="U669" s="53"/>
    </row>
    <row r="670">
      <c r="P670" s="53"/>
      <c r="R670" s="53"/>
      <c r="S670" s="53"/>
      <c r="T670" s="53"/>
      <c r="U670" s="53"/>
    </row>
    <row r="671">
      <c r="P671" s="53"/>
      <c r="R671" s="53"/>
      <c r="S671" s="53"/>
      <c r="T671" s="53"/>
      <c r="U671" s="53"/>
    </row>
    <row r="672">
      <c r="P672" s="53"/>
      <c r="R672" s="53"/>
      <c r="S672" s="53"/>
      <c r="T672" s="53"/>
      <c r="U672" s="53"/>
    </row>
    <row r="673">
      <c r="P673" s="53"/>
      <c r="R673" s="53"/>
      <c r="S673" s="53"/>
      <c r="T673" s="53"/>
      <c r="U673" s="53"/>
    </row>
    <row r="674">
      <c r="P674" s="53"/>
      <c r="R674" s="53"/>
      <c r="S674" s="53"/>
      <c r="T674" s="53"/>
      <c r="U674" s="53"/>
    </row>
    <row r="675">
      <c r="P675" s="53"/>
      <c r="R675" s="53"/>
      <c r="S675" s="53"/>
      <c r="T675" s="53"/>
      <c r="U675" s="53"/>
    </row>
    <row r="676">
      <c r="P676" s="53"/>
      <c r="R676" s="53"/>
      <c r="S676" s="53"/>
      <c r="T676" s="53"/>
      <c r="U676" s="53"/>
    </row>
    <row r="677">
      <c r="P677" s="53"/>
      <c r="R677" s="53"/>
      <c r="S677" s="53"/>
      <c r="T677" s="53"/>
      <c r="U677" s="53"/>
    </row>
    <row r="678">
      <c r="P678" s="53"/>
      <c r="R678" s="53"/>
      <c r="S678" s="53"/>
      <c r="T678" s="53"/>
      <c r="U678" s="53"/>
    </row>
    <row r="679">
      <c r="P679" s="53"/>
      <c r="R679" s="53"/>
      <c r="S679" s="53"/>
      <c r="T679" s="53"/>
      <c r="U679" s="53"/>
    </row>
    <row r="680">
      <c r="P680" s="53"/>
      <c r="R680" s="53"/>
      <c r="S680" s="53"/>
      <c r="T680" s="53"/>
      <c r="U680" s="53"/>
    </row>
    <row r="681">
      <c r="P681" s="53"/>
      <c r="R681" s="53"/>
      <c r="S681" s="53"/>
      <c r="T681" s="53"/>
      <c r="U681" s="53"/>
    </row>
    <row r="682">
      <c r="P682" s="53"/>
      <c r="R682" s="53"/>
      <c r="S682" s="53"/>
      <c r="T682" s="53"/>
      <c r="U682" s="53"/>
    </row>
    <row r="683">
      <c r="P683" s="53"/>
      <c r="R683" s="53"/>
      <c r="S683" s="53"/>
      <c r="T683" s="53"/>
      <c r="U683" s="53"/>
    </row>
    <row r="684">
      <c r="P684" s="53"/>
      <c r="R684" s="53"/>
      <c r="S684" s="53"/>
      <c r="T684" s="53"/>
      <c r="U684" s="53"/>
    </row>
    <row r="685">
      <c r="P685" s="53"/>
      <c r="R685" s="53"/>
      <c r="S685" s="53"/>
      <c r="T685" s="53"/>
      <c r="U685" s="53"/>
    </row>
    <row r="686">
      <c r="P686" s="53"/>
      <c r="R686" s="53"/>
      <c r="S686" s="53"/>
      <c r="T686" s="53"/>
      <c r="U686" s="53"/>
    </row>
    <row r="687">
      <c r="P687" s="53"/>
      <c r="R687" s="53"/>
      <c r="S687" s="53"/>
      <c r="T687" s="53"/>
      <c r="U687" s="53"/>
    </row>
    <row r="688">
      <c r="P688" s="53"/>
      <c r="R688" s="53"/>
      <c r="S688" s="53"/>
      <c r="T688" s="53"/>
      <c r="U688" s="53"/>
    </row>
    <row r="689">
      <c r="P689" s="53"/>
      <c r="R689" s="53"/>
      <c r="S689" s="53"/>
      <c r="T689" s="53"/>
      <c r="U689" s="53"/>
    </row>
    <row r="690">
      <c r="P690" s="53"/>
      <c r="R690" s="53"/>
      <c r="S690" s="53"/>
      <c r="T690" s="53"/>
      <c r="U690" s="53"/>
    </row>
    <row r="691">
      <c r="P691" s="53"/>
      <c r="R691" s="53"/>
      <c r="S691" s="53"/>
      <c r="T691" s="53"/>
      <c r="U691" s="53"/>
    </row>
    <row r="692">
      <c r="P692" s="53"/>
      <c r="R692" s="53"/>
      <c r="S692" s="53"/>
      <c r="T692" s="53"/>
      <c r="U692" s="53"/>
    </row>
    <row r="693">
      <c r="P693" s="53"/>
      <c r="R693" s="53"/>
      <c r="S693" s="53"/>
      <c r="T693" s="53"/>
      <c r="U693" s="53"/>
    </row>
    <row r="694">
      <c r="P694" s="53"/>
      <c r="R694" s="53"/>
      <c r="S694" s="53"/>
      <c r="T694" s="53"/>
      <c r="U694" s="53"/>
    </row>
    <row r="695">
      <c r="P695" s="53"/>
      <c r="R695" s="53"/>
      <c r="S695" s="53"/>
      <c r="T695" s="53"/>
      <c r="U695" s="53"/>
    </row>
    <row r="696">
      <c r="P696" s="53"/>
      <c r="R696" s="53"/>
      <c r="S696" s="53"/>
      <c r="T696" s="53"/>
      <c r="U696" s="53"/>
    </row>
    <row r="697">
      <c r="P697" s="53"/>
      <c r="R697" s="53"/>
      <c r="S697" s="53"/>
      <c r="T697" s="53"/>
      <c r="U697" s="53"/>
    </row>
    <row r="698">
      <c r="P698" s="53"/>
      <c r="R698" s="53"/>
      <c r="S698" s="53"/>
      <c r="T698" s="53"/>
      <c r="U698" s="53"/>
    </row>
    <row r="699">
      <c r="P699" s="53"/>
      <c r="R699" s="53"/>
      <c r="S699" s="53"/>
      <c r="T699" s="53"/>
      <c r="U699" s="53"/>
    </row>
    <row r="700">
      <c r="P700" s="53"/>
      <c r="R700" s="53"/>
      <c r="S700" s="53"/>
      <c r="T700" s="53"/>
      <c r="U700" s="53"/>
    </row>
    <row r="701">
      <c r="P701" s="53"/>
      <c r="R701" s="53"/>
      <c r="S701" s="53"/>
      <c r="T701" s="53"/>
      <c r="U701" s="53"/>
    </row>
    <row r="702">
      <c r="P702" s="53"/>
      <c r="R702" s="53"/>
      <c r="S702" s="53"/>
      <c r="T702" s="53"/>
      <c r="U702" s="53"/>
    </row>
    <row r="703">
      <c r="P703" s="53"/>
      <c r="R703" s="53"/>
      <c r="S703" s="53"/>
      <c r="T703" s="53"/>
      <c r="U703" s="53"/>
    </row>
    <row r="704">
      <c r="P704" s="53"/>
      <c r="R704" s="53"/>
      <c r="S704" s="53"/>
      <c r="T704" s="53"/>
      <c r="U704" s="53"/>
    </row>
    <row r="705">
      <c r="P705" s="53"/>
      <c r="R705" s="53"/>
      <c r="S705" s="53"/>
      <c r="T705" s="53"/>
      <c r="U705" s="53"/>
    </row>
    <row r="706">
      <c r="P706" s="53"/>
      <c r="R706" s="53"/>
      <c r="S706" s="53"/>
      <c r="T706" s="53"/>
      <c r="U706" s="53"/>
    </row>
    <row r="707">
      <c r="P707" s="53"/>
      <c r="R707" s="53"/>
      <c r="S707" s="53"/>
      <c r="T707" s="53"/>
      <c r="U707" s="53"/>
    </row>
    <row r="708">
      <c r="P708" s="53"/>
      <c r="R708" s="53"/>
      <c r="S708" s="53"/>
      <c r="T708" s="53"/>
      <c r="U708" s="53"/>
    </row>
    <row r="709">
      <c r="P709" s="53"/>
      <c r="R709" s="53"/>
      <c r="S709" s="53"/>
      <c r="T709" s="53"/>
      <c r="U709" s="53"/>
    </row>
    <row r="710">
      <c r="P710" s="53"/>
      <c r="R710" s="53"/>
      <c r="S710" s="53"/>
      <c r="T710" s="53"/>
      <c r="U710" s="53"/>
    </row>
    <row r="711">
      <c r="P711" s="53"/>
      <c r="R711" s="53"/>
      <c r="S711" s="53"/>
      <c r="T711" s="53"/>
      <c r="U711" s="53"/>
    </row>
    <row r="712">
      <c r="P712" s="53"/>
      <c r="R712" s="53"/>
      <c r="S712" s="53"/>
      <c r="T712" s="53"/>
      <c r="U712" s="53"/>
    </row>
    <row r="713">
      <c r="P713" s="53"/>
      <c r="R713" s="53"/>
      <c r="S713" s="53"/>
      <c r="T713" s="53"/>
      <c r="U713" s="53"/>
    </row>
    <row r="714">
      <c r="P714" s="53"/>
      <c r="R714" s="53"/>
      <c r="S714" s="53"/>
      <c r="T714" s="53"/>
      <c r="U714" s="53"/>
    </row>
    <row r="715">
      <c r="P715" s="53"/>
      <c r="R715" s="53"/>
      <c r="S715" s="53"/>
      <c r="T715" s="53"/>
      <c r="U715" s="53"/>
    </row>
    <row r="716">
      <c r="P716" s="53"/>
      <c r="R716" s="53"/>
      <c r="S716" s="53"/>
      <c r="T716" s="53"/>
      <c r="U716" s="53"/>
    </row>
    <row r="717">
      <c r="P717" s="53"/>
      <c r="R717" s="53"/>
      <c r="S717" s="53"/>
      <c r="T717" s="53"/>
      <c r="U717" s="53"/>
    </row>
    <row r="718">
      <c r="P718" s="53"/>
      <c r="R718" s="53"/>
      <c r="S718" s="53"/>
      <c r="T718" s="53"/>
      <c r="U718" s="53"/>
    </row>
    <row r="719">
      <c r="P719" s="53"/>
      <c r="R719" s="53"/>
      <c r="S719" s="53"/>
      <c r="T719" s="53"/>
      <c r="U719" s="53"/>
    </row>
    <row r="720">
      <c r="P720" s="53"/>
      <c r="R720" s="53"/>
      <c r="S720" s="53"/>
      <c r="T720" s="53"/>
      <c r="U720" s="53"/>
    </row>
    <row r="721">
      <c r="P721" s="53"/>
      <c r="R721" s="53"/>
      <c r="S721" s="53"/>
      <c r="T721" s="53"/>
      <c r="U721" s="53"/>
    </row>
    <row r="722">
      <c r="P722" s="53"/>
      <c r="R722" s="53"/>
      <c r="S722" s="53"/>
      <c r="T722" s="53"/>
      <c r="U722" s="53"/>
    </row>
    <row r="723">
      <c r="P723" s="53"/>
      <c r="R723" s="53"/>
      <c r="S723" s="53"/>
      <c r="T723" s="53"/>
      <c r="U723" s="53"/>
    </row>
    <row r="724">
      <c r="P724" s="53"/>
      <c r="R724" s="53"/>
      <c r="S724" s="53"/>
      <c r="T724" s="53"/>
      <c r="U724" s="53"/>
    </row>
    <row r="725">
      <c r="P725" s="53"/>
      <c r="R725" s="53"/>
      <c r="S725" s="53"/>
      <c r="T725" s="53"/>
      <c r="U725" s="53"/>
    </row>
    <row r="726">
      <c r="P726" s="53"/>
      <c r="R726" s="53"/>
      <c r="S726" s="53"/>
      <c r="T726" s="53"/>
      <c r="U726" s="53"/>
    </row>
    <row r="727">
      <c r="P727" s="53"/>
      <c r="R727" s="53"/>
      <c r="S727" s="53"/>
      <c r="T727" s="53"/>
      <c r="U727" s="53"/>
    </row>
    <row r="728">
      <c r="P728" s="53"/>
      <c r="R728" s="53"/>
      <c r="S728" s="53"/>
      <c r="T728" s="53"/>
      <c r="U728" s="53"/>
    </row>
    <row r="729">
      <c r="P729" s="53"/>
      <c r="R729" s="53"/>
      <c r="S729" s="53"/>
      <c r="T729" s="53"/>
      <c r="U729" s="53"/>
    </row>
    <row r="730">
      <c r="P730" s="53"/>
      <c r="R730" s="53"/>
      <c r="S730" s="53"/>
      <c r="T730" s="53"/>
      <c r="U730" s="53"/>
    </row>
    <row r="731">
      <c r="P731" s="53"/>
      <c r="R731" s="53"/>
      <c r="S731" s="53"/>
      <c r="T731" s="53"/>
      <c r="U731" s="53"/>
    </row>
    <row r="732">
      <c r="P732" s="53"/>
      <c r="R732" s="53"/>
      <c r="S732" s="53"/>
      <c r="T732" s="53"/>
      <c r="U732" s="53"/>
    </row>
    <row r="733">
      <c r="P733" s="53"/>
      <c r="R733" s="53"/>
      <c r="S733" s="53"/>
      <c r="T733" s="53"/>
      <c r="U733" s="53"/>
    </row>
    <row r="734">
      <c r="P734" s="53"/>
      <c r="R734" s="53"/>
      <c r="S734" s="53"/>
      <c r="T734" s="53"/>
      <c r="U734" s="53"/>
    </row>
    <row r="735">
      <c r="P735" s="53"/>
      <c r="R735" s="53"/>
      <c r="S735" s="53"/>
      <c r="T735" s="53"/>
      <c r="U735" s="53"/>
    </row>
    <row r="736">
      <c r="P736" s="53"/>
      <c r="R736" s="53"/>
      <c r="S736" s="53"/>
      <c r="T736" s="53"/>
      <c r="U736" s="53"/>
    </row>
    <row r="737">
      <c r="P737" s="53"/>
      <c r="R737" s="53"/>
      <c r="S737" s="53"/>
      <c r="T737" s="53"/>
      <c r="U737" s="53"/>
    </row>
    <row r="738">
      <c r="P738" s="53"/>
      <c r="R738" s="53"/>
      <c r="S738" s="53"/>
      <c r="T738" s="53"/>
      <c r="U738" s="53"/>
    </row>
    <row r="739">
      <c r="P739" s="53"/>
      <c r="R739" s="53"/>
      <c r="S739" s="53"/>
      <c r="T739" s="53"/>
      <c r="U739" s="53"/>
    </row>
    <row r="740">
      <c r="P740" s="53"/>
      <c r="R740" s="53"/>
      <c r="S740" s="53"/>
      <c r="T740" s="53"/>
      <c r="U740" s="53"/>
    </row>
    <row r="741">
      <c r="P741" s="53"/>
      <c r="R741" s="53"/>
      <c r="S741" s="53"/>
      <c r="T741" s="53"/>
      <c r="U741" s="53"/>
    </row>
    <row r="742">
      <c r="P742" s="53"/>
      <c r="R742" s="53"/>
      <c r="S742" s="53"/>
      <c r="T742" s="53"/>
      <c r="U742" s="53"/>
    </row>
    <row r="743">
      <c r="P743" s="53"/>
      <c r="R743" s="53"/>
      <c r="S743" s="53"/>
      <c r="T743" s="53"/>
      <c r="U743" s="53"/>
    </row>
    <row r="744">
      <c r="P744" s="53"/>
      <c r="R744" s="53"/>
      <c r="S744" s="53"/>
      <c r="T744" s="53"/>
      <c r="U744" s="53"/>
    </row>
    <row r="745">
      <c r="P745" s="53"/>
      <c r="R745" s="53"/>
      <c r="S745" s="53"/>
      <c r="T745" s="53"/>
      <c r="U745" s="53"/>
    </row>
    <row r="746">
      <c r="P746" s="53"/>
      <c r="R746" s="53"/>
      <c r="S746" s="53"/>
      <c r="T746" s="53"/>
      <c r="U746" s="53"/>
    </row>
    <row r="747">
      <c r="P747" s="53"/>
      <c r="R747" s="53"/>
      <c r="S747" s="53"/>
      <c r="T747" s="53"/>
      <c r="U747" s="53"/>
    </row>
    <row r="748">
      <c r="P748" s="53"/>
      <c r="R748" s="53"/>
      <c r="S748" s="53"/>
      <c r="T748" s="53"/>
      <c r="U748" s="53"/>
    </row>
    <row r="749">
      <c r="P749" s="53"/>
      <c r="R749" s="53"/>
      <c r="S749" s="53"/>
      <c r="T749" s="53"/>
      <c r="U749" s="53"/>
    </row>
    <row r="750">
      <c r="P750" s="53"/>
      <c r="R750" s="53"/>
      <c r="S750" s="53"/>
      <c r="T750" s="53"/>
      <c r="U750" s="53"/>
    </row>
    <row r="751">
      <c r="P751" s="53"/>
      <c r="R751" s="53"/>
      <c r="S751" s="53"/>
      <c r="T751" s="53"/>
      <c r="U751" s="53"/>
    </row>
    <row r="752">
      <c r="P752" s="53"/>
      <c r="R752" s="53"/>
      <c r="S752" s="53"/>
      <c r="T752" s="53"/>
      <c r="U752" s="53"/>
    </row>
    <row r="753">
      <c r="P753" s="53"/>
      <c r="R753" s="53"/>
      <c r="S753" s="53"/>
      <c r="T753" s="53"/>
      <c r="U753" s="53"/>
    </row>
    <row r="754">
      <c r="P754" s="53"/>
      <c r="R754" s="53"/>
      <c r="S754" s="53"/>
      <c r="T754" s="53"/>
      <c r="U754" s="53"/>
    </row>
    <row r="755">
      <c r="P755" s="53"/>
      <c r="R755" s="53"/>
      <c r="S755" s="53"/>
      <c r="T755" s="53"/>
      <c r="U755" s="53"/>
    </row>
    <row r="756">
      <c r="P756" s="53"/>
      <c r="R756" s="53"/>
      <c r="S756" s="53"/>
      <c r="T756" s="53"/>
      <c r="U756" s="53"/>
    </row>
    <row r="757">
      <c r="P757" s="53"/>
      <c r="R757" s="53"/>
      <c r="S757" s="53"/>
      <c r="T757" s="53"/>
      <c r="U757" s="53"/>
    </row>
    <row r="758">
      <c r="P758" s="53"/>
      <c r="R758" s="53"/>
      <c r="S758" s="53"/>
      <c r="T758" s="53"/>
      <c r="U758" s="53"/>
    </row>
    <row r="759">
      <c r="P759" s="53"/>
      <c r="R759" s="53"/>
      <c r="S759" s="53"/>
      <c r="T759" s="53"/>
      <c r="U759" s="53"/>
    </row>
    <row r="760">
      <c r="P760" s="53"/>
      <c r="R760" s="53"/>
      <c r="S760" s="53"/>
      <c r="T760" s="53"/>
      <c r="U760" s="53"/>
    </row>
    <row r="761">
      <c r="P761" s="53"/>
      <c r="R761" s="53"/>
      <c r="S761" s="53"/>
      <c r="T761" s="53"/>
      <c r="U761" s="53"/>
    </row>
    <row r="762">
      <c r="P762" s="53"/>
      <c r="R762" s="53"/>
      <c r="S762" s="53"/>
      <c r="T762" s="53"/>
      <c r="U762" s="53"/>
    </row>
    <row r="763">
      <c r="P763" s="53"/>
      <c r="R763" s="53"/>
      <c r="S763" s="53"/>
      <c r="T763" s="53"/>
      <c r="U763" s="53"/>
    </row>
    <row r="764">
      <c r="P764" s="53"/>
      <c r="R764" s="53"/>
      <c r="S764" s="53"/>
      <c r="T764" s="53"/>
      <c r="U764" s="53"/>
    </row>
    <row r="765">
      <c r="P765" s="53"/>
      <c r="R765" s="53"/>
      <c r="S765" s="53"/>
      <c r="T765" s="53"/>
      <c r="U765" s="53"/>
    </row>
    <row r="766">
      <c r="P766" s="53"/>
      <c r="R766" s="53"/>
      <c r="S766" s="53"/>
      <c r="T766" s="53"/>
      <c r="U766" s="53"/>
    </row>
    <row r="767">
      <c r="P767" s="53"/>
      <c r="R767" s="53"/>
      <c r="S767" s="53"/>
      <c r="T767" s="53"/>
      <c r="U767" s="53"/>
    </row>
    <row r="768">
      <c r="P768" s="53"/>
      <c r="R768" s="53"/>
      <c r="S768" s="53"/>
      <c r="T768" s="53"/>
      <c r="U768" s="53"/>
    </row>
    <row r="769">
      <c r="P769" s="53"/>
      <c r="R769" s="53"/>
      <c r="S769" s="53"/>
      <c r="T769" s="53"/>
      <c r="U769" s="53"/>
    </row>
    <row r="770">
      <c r="P770" s="53"/>
      <c r="R770" s="53"/>
      <c r="S770" s="53"/>
      <c r="T770" s="53"/>
      <c r="U770" s="53"/>
    </row>
    <row r="771">
      <c r="P771" s="53"/>
      <c r="R771" s="53"/>
      <c r="S771" s="53"/>
      <c r="T771" s="53"/>
      <c r="U771" s="53"/>
    </row>
    <row r="772">
      <c r="P772" s="53"/>
      <c r="R772" s="53"/>
      <c r="S772" s="53"/>
      <c r="T772" s="53"/>
      <c r="U772" s="53"/>
    </row>
    <row r="773">
      <c r="P773" s="53"/>
      <c r="R773" s="53"/>
      <c r="S773" s="53"/>
      <c r="T773" s="53"/>
      <c r="U773" s="53"/>
    </row>
    <row r="774">
      <c r="P774" s="53"/>
      <c r="R774" s="53"/>
      <c r="S774" s="53"/>
      <c r="T774" s="53"/>
      <c r="U774" s="53"/>
    </row>
    <row r="775">
      <c r="P775" s="53"/>
      <c r="R775" s="53"/>
      <c r="S775" s="53"/>
      <c r="T775" s="53"/>
      <c r="U775" s="53"/>
    </row>
    <row r="776">
      <c r="P776" s="53"/>
      <c r="R776" s="53"/>
      <c r="S776" s="53"/>
      <c r="T776" s="53"/>
      <c r="U776" s="53"/>
    </row>
    <row r="777">
      <c r="P777" s="53"/>
      <c r="R777" s="53"/>
      <c r="S777" s="53"/>
      <c r="T777" s="53"/>
      <c r="U777" s="53"/>
    </row>
    <row r="778">
      <c r="P778" s="53"/>
      <c r="R778" s="53"/>
      <c r="S778" s="53"/>
      <c r="T778" s="53"/>
      <c r="U778" s="53"/>
    </row>
    <row r="779">
      <c r="P779" s="53"/>
      <c r="R779" s="53"/>
      <c r="S779" s="53"/>
      <c r="T779" s="53"/>
      <c r="U779" s="53"/>
    </row>
    <row r="780">
      <c r="P780" s="53"/>
      <c r="R780" s="53"/>
      <c r="S780" s="53"/>
      <c r="T780" s="53"/>
      <c r="U780" s="53"/>
    </row>
    <row r="781">
      <c r="P781" s="53"/>
      <c r="R781" s="53"/>
      <c r="S781" s="53"/>
      <c r="T781" s="53"/>
      <c r="U781" s="53"/>
    </row>
    <row r="782">
      <c r="P782" s="53"/>
      <c r="R782" s="53"/>
      <c r="S782" s="53"/>
      <c r="T782" s="53"/>
      <c r="U782" s="53"/>
    </row>
    <row r="783">
      <c r="P783" s="53"/>
      <c r="R783" s="53"/>
      <c r="S783" s="53"/>
      <c r="T783" s="53"/>
      <c r="U783" s="53"/>
    </row>
    <row r="784">
      <c r="P784" s="53"/>
      <c r="R784" s="53"/>
      <c r="S784" s="53"/>
      <c r="T784" s="53"/>
      <c r="U784" s="53"/>
    </row>
    <row r="785">
      <c r="P785" s="53"/>
      <c r="R785" s="53"/>
      <c r="S785" s="53"/>
      <c r="T785" s="53"/>
      <c r="U785" s="53"/>
    </row>
    <row r="786">
      <c r="P786" s="53"/>
      <c r="R786" s="53"/>
      <c r="S786" s="53"/>
      <c r="T786" s="53"/>
      <c r="U786" s="53"/>
    </row>
    <row r="787">
      <c r="P787" s="53"/>
      <c r="R787" s="53"/>
      <c r="S787" s="53"/>
      <c r="T787" s="53"/>
      <c r="U787" s="53"/>
    </row>
    <row r="788">
      <c r="P788" s="53"/>
      <c r="R788" s="53"/>
      <c r="S788" s="53"/>
      <c r="T788" s="53"/>
      <c r="U788" s="53"/>
    </row>
    <row r="789">
      <c r="P789" s="53"/>
      <c r="R789" s="53"/>
      <c r="S789" s="53"/>
      <c r="T789" s="53"/>
      <c r="U789" s="53"/>
    </row>
    <row r="790">
      <c r="P790" s="53"/>
      <c r="R790" s="53"/>
      <c r="S790" s="53"/>
      <c r="T790" s="53"/>
      <c r="U790" s="53"/>
    </row>
    <row r="791">
      <c r="P791" s="53"/>
      <c r="R791" s="53"/>
      <c r="S791" s="53"/>
      <c r="T791" s="53"/>
      <c r="U791" s="53"/>
    </row>
    <row r="792">
      <c r="P792" s="53"/>
      <c r="R792" s="53"/>
      <c r="S792" s="53"/>
      <c r="T792" s="53"/>
      <c r="U792" s="53"/>
    </row>
    <row r="793">
      <c r="P793" s="53"/>
      <c r="R793" s="53"/>
      <c r="S793" s="53"/>
      <c r="T793" s="53"/>
      <c r="U793" s="53"/>
    </row>
    <row r="794">
      <c r="P794" s="53"/>
      <c r="R794" s="53"/>
      <c r="S794" s="53"/>
      <c r="T794" s="53"/>
      <c r="U794" s="53"/>
    </row>
    <row r="795">
      <c r="P795" s="53"/>
      <c r="R795" s="53"/>
      <c r="S795" s="53"/>
      <c r="T795" s="53"/>
      <c r="U795" s="53"/>
    </row>
    <row r="796">
      <c r="P796" s="53"/>
      <c r="R796" s="53"/>
      <c r="S796" s="53"/>
      <c r="T796" s="53"/>
      <c r="U796" s="53"/>
    </row>
    <row r="797">
      <c r="P797" s="53"/>
      <c r="R797" s="53"/>
      <c r="S797" s="53"/>
      <c r="T797" s="53"/>
      <c r="U797" s="53"/>
    </row>
    <row r="798">
      <c r="P798" s="53"/>
      <c r="R798" s="53"/>
      <c r="S798" s="53"/>
      <c r="T798" s="53"/>
      <c r="U798" s="53"/>
    </row>
    <row r="799">
      <c r="P799" s="53"/>
      <c r="R799" s="53"/>
      <c r="S799" s="53"/>
      <c r="T799" s="53"/>
      <c r="U799" s="53"/>
    </row>
    <row r="800">
      <c r="P800" s="53"/>
      <c r="R800" s="53"/>
      <c r="S800" s="53"/>
      <c r="T800" s="53"/>
      <c r="U800" s="53"/>
    </row>
    <row r="801">
      <c r="P801" s="53"/>
      <c r="R801" s="53"/>
      <c r="S801" s="53"/>
      <c r="T801" s="53"/>
      <c r="U801" s="53"/>
    </row>
    <row r="802">
      <c r="P802" s="53"/>
      <c r="R802" s="53"/>
      <c r="S802" s="53"/>
      <c r="T802" s="53"/>
      <c r="U802" s="53"/>
    </row>
    <row r="803">
      <c r="P803" s="53"/>
      <c r="R803" s="53"/>
      <c r="S803" s="53"/>
      <c r="T803" s="53"/>
      <c r="U803" s="53"/>
    </row>
    <row r="804">
      <c r="P804" s="53"/>
      <c r="R804" s="53"/>
      <c r="S804" s="53"/>
      <c r="T804" s="53"/>
      <c r="U804" s="53"/>
    </row>
    <row r="805">
      <c r="P805" s="53"/>
      <c r="R805" s="53"/>
      <c r="S805" s="53"/>
      <c r="T805" s="53"/>
      <c r="U805" s="53"/>
    </row>
    <row r="806">
      <c r="P806" s="53"/>
      <c r="R806" s="53"/>
      <c r="S806" s="53"/>
      <c r="T806" s="53"/>
      <c r="U806" s="53"/>
    </row>
    <row r="807">
      <c r="P807" s="53"/>
      <c r="R807" s="53"/>
      <c r="S807" s="53"/>
      <c r="T807" s="53"/>
      <c r="U807" s="53"/>
    </row>
    <row r="808">
      <c r="P808" s="53"/>
      <c r="R808" s="53"/>
      <c r="S808" s="53"/>
      <c r="T808" s="53"/>
      <c r="U808" s="53"/>
    </row>
    <row r="809">
      <c r="P809" s="53"/>
      <c r="R809" s="53"/>
      <c r="S809" s="53"/>
      <c r="T809" s="53"/>
      <c r="U809" s="53"/>
    </row>
    <row r="810">
      <c r="P810" s="53"/>
      <c r="R810" s="53"/>
      <c r="S810" s="53"/>
      <c r="T810" s="53"/>
      <c r="U810" s="53"/>
    </row>
    <row r="811">
      <c r="P811" s="53"/>
      <c r="R811" s="53"/>
      <c r="S811" s="53"/>
      <c r="T811" s="53"/>
      <c r="U811" s="53"/>
    </row>
    <row r="812">
      <c r="P812" s="53"/>
      <c r="R812" s="53"/>
      <c r="S812" s="53"/>
      <c r="T812" s="53"/>
      <c r="U812" s="53"/>
    </row>
    <row r="813">
      <c r="P813" s="53"/>
      <c r="R813" s="53"/>
      <c r="S813" s="53"/>
      <c r="T813" s="53"/>
      <c r="U813" s="53"/>
    </row>
    <row r="814">
      <c r="P814" s="53"/>
      <c r="R814" s="53"/>
      <c r="S814" s="53"/>
      <c r="T814" s="53"/>
      <c r="U814" s="53"/>
    </row>
    <row r="815">
      <c r="P815" s="53"/>
      <c r="R815" s="53"/>
      <c r="S815" s="53"/>
      <c r="T815" s="53"/>
      <c r="U815" s="53"/>
    </row>
    <row r="816">
      <c r="P816" s="53"/>
      <c r="R816" s="53"/>
      <c r="S816" s="53"/>
      <c r="T816" s="53"/>
      <c r="U816" s="53"/>
    </row>
    <row r="817">
      <c r="P817" s="53"/>
      <c r="R817" s="53"/>
      <c r="S817" s="53"/>
      <c r="T817" s="53"/>
      <c r="U817" s="53"/>
    </row>
    <row r="818">
      <c r="P818" s="53"/>
      <c r="R818" s="53"/>
      <c r="S818" s="53"/>
      <c r="T818" s="53"/>
      <c r="U818" s="53"/>
    </row>
    <row r="819">
      <c r="P819" s="53"/>
      <c r="R819" s="53"/>
      <c r="S819" s="53"/>
      <c r="T819" s="53"/>
      <c r="U819" s="53"/>
    </row>
    <row r="820">
      <c r="P820" s="53"/>
      <c r="R820" s="53"/>
      <c r="S820" s="53"/>
      <c r="T820" s="53"/>
      <c r="U820" s="53"/>
    </row>
    <row r="821">
      <c r="P821" s="53"/>
      <c r="R821" s="53"/>
      <c r="S821" s="53"/>
      <c r="T821" s="53"/>
      <c r="U821" s="53"/>
    </row>
    <row r="822">
      <c r="P822" s="53"/>
      <c r="R822" s="53"/>
      <c r="S822" s="53"/>
      <c r="T822" s="53"/>
      <c r="U822" s="53"/>
    </row>
    <row r="823">
      <c r="P823" s="53"/>
      <c r="R823" s="53"/>
      <c r="S823" s="53"/>
      <c r="T823" s="53"/>
      <c r="U823" s="53"/>
    </row>
    <row r="824">
      <c r="P824" s="53"/>
      <c r="R824" s="53"/>
      <c r="S824" s="53"/>
      <c r="T824" s="53"/>
      <c r="U824" s="53"/>
    </row>
    <row r="825">
      <c r="P825" s="53"/>
      <c r="R825" s="53"/>
      <c r="S825" s="53"/>
      <c r="T825" s="53"/>
      <c r="U825" s="53"/>
    </row>
    <row r="826">
      <c r="P826" s="53"/>
      <c r="R826" s="53"/>
      <c r="S826" s="53"/>
      <c r="T826" s="53"/>
      <c r="U826" s="53"/>
    </row>
    <row r="827">
      <c r="P827" s="53"/>
      <c r="R827" s="53"/>
      <c r="S827" s="53"/>
      <c r="T827" s="53"/>
      <c r="U827" s="53"/>
    </row>
    <row r="828">
      <c r="P828" s="53"/>
      <c r="R828" s="53"/>
      <c r="S828" s="53"/>
      <c r="T828" s="53"/>
      <c r="U828" s="53"/>
    </row>
    <row r="829">
      <c r="P829" s="53"/>
      <c r="R829" s="53"/>
      <c r="S829" s="53"/>
      <c r="T829" s="53"/>
      <c r="U829" s="53"/>
    </row>
    <row r="830">
      <c r="P830" s="53"/>
      <c r="R830" s="53"/>
      <c r="S830" s="53"/>
      <c r="T830" s="53"/>
      <c r="U830" s="53"/>
    </row>
    <row r="831">
      <c r="P831" s="53"/>
      <c r="R831" s="53"/>
      <c r="S831" s="53"/>
      <c r="T831" s="53"/>
      <c r="U831" s="53"/>
    </row>
    <row r="832">
      <c r="P832" s="53"/>
      <c r="R832" s="53"/>
      <c r="S832" s="53"/>
      <c r="T832" s="53"/>
      <c r="U832" s="53"/>
    </row>
    <row r="833">
      <c r="P833" s="53"/>
      <c r="R833" s="53"/>
      <c r="S833" s="53"/>
      <c r="T833" s="53"/>
      <c r="U833" s="53"/>
    </row>
    <row r="834">
      <c r="P834" s="53"/>
      <c r="R834" s="53"/>
      <c r="S834" s="53"/>
      <c r="T834" s="53"/>
      <c r="U834" s="53"/>
    </row>
    <row r="835">
      <c r="P835" s="53"/>
      <c r="R835" s="53"/>
      <c r="S835" s="53"/>
      <c r="T835" s="53"/>
      <c r="U835" s="53"/>
    </row>
    <row r="836">
      <c r="P836" s="53"/>
      <c r="R836" s="53"/>
      <c r="S836" s="53"/>
      <c r="T836" s="53"/>
      <c r="U836" s="53"/>
    </row>
    <row r="837">
      <c r="P837" s="53"/>
      <c r="R837" s="53"/>
      <c r="S837" s="53"/>
      <c r="T837" s="53"/>
      <c r="U837" s="53"/>
    </row>
    <row r="838">
      <c r="P838" s="53"/>
      <c r="R838" s="53"/>
      <c r="S838" s="53"/>
      <c r="T838" s="53"/>
      <c r="U838" s="53"/>
    </row>
    <row r="839">
      <c r="P839" s="53"/>
      <c r="R839" s="53"/>
      <c r="S839" s="53"/>
      <c r="T839" s="53"/>
      <c r="U839" s="53"/>
    </row>
    <row r="840">
      <c r="P840" s="53"/>
      <c r="R840" s="53"/>
      <c r="S840" s="53"/>
      <c r="T840" s="53"/>
      <c r="U840" s="53"/>
    </row>
    <row r="841">
      <c r="P841" s="53"/>
      <c r="R841" s="53"/>
      <c r="S841" s="53"/>
      <c r="T841" s="53"/>
      <c r="U841" s="53"/>
    </row>
    <row r="842">
      <c r="P842" s="53"/>
      <c r="R842" s="53"/>
      <c r="S842" s="53"/>
      <c r="T842" s="53"/>
      <c r="U842" s="53"/>
    </row>
    <row r="843">
      <c r="P843" s="53"/>
      <c r="R843" s="53"/>
      <c r="S843" s="53"/>
      <c r="T843" s="53"/>
      <c r="U843" s="53"/>
    </row>
    <row r="844">
      <c r="P844" s="53"/>
      <c r="R844" s="53"/>
      <c r="S844" s="53"/>
      <c r="T844" s="53"/>
      <c r="U844" s="53"/>
    </row>
    <row r="845">
      <c r="P845" s="53"/>
      <c r="R845" s="53"/>
      <c r="S845" s="53"/>
      <c r="T845" s="53"/>
      <c r="U845" s="53"/>
    </row>
    <row r="846">
      <c r="P846" s="53"/>
      <c r="R846" s="53"/>
      <c r="S846" s="53"/>
      <c r="T846" s="53"/>
      <c r="U846" s="53"/>
    </row>
    <row r="847">
      <c r="P847" s="53"/>
      <c r="R847" s="53"/>
      <c r="S847" s="53"/>
      <c r="T847" s="53"/>
      <c r="U847" s="53"/>
    </row>
    <row r="848">
      <c r="P848" s="53"/>
      <c r="R848" s="53"/>
      <c r="S848" s="53"/>
      <c r="T848" s="53"/>
      <c r="U848" s="53"/>
    </row>
    <row r="849">
      <c r="P849" s="53"/>
      <c r="R849" s="53"/>
      <c r="S849" s="53"/>
      <c r="T849" s="53"/>
      <c r="U849" s="53"/>
    </row>
    <row r="850">
      <c r="P850" s="53"/>
      <c r="R850" s="53"/>
      <c r="S850" s="53"/>
      <c r="T850" s="53"/>
      <c r="U850" s="53"/>
    </row>
    <row r="851">
      <c r="P851" s="53"/>
      <c r="R851" s="53"/>
      <c r="S851" s="53"/>
      <c r="T851" s="53"/>
      <c r="U851" s="53"/>
    </row>
    <row r="852">
      <c r="P852" s="53"/>
      <c r="R852" s="53"/>
      <c r="S852" s="53"/>
      <c r="T852" s="53"/>
      <c r="U852" s="53"/>
    </row>
    <row r="853">
      <c r="P853" s="53"/>
      <c r="R853" s="53"/>
      <c r="S853" s="53"/>
      <c r="T853" s="53"/>
      <c r="U853" s="53"/>
    </row>
    <row r="854">
      <c r="P854" s="53"/>
      <c r="R854" s="53"/>
      <c r="S854" s="53"/>
      <c r="T854" s="53"/>
      <c r="U854" s="53"/>
    </row>
    <row r="855">
      <c r="P855" s="53"/>
      <c r="R855" s="53"/>
      <c r="S855" s="53"/>
      <c r="T855" s="53"/>
      <c r="U855" s="53"/>
    </row>
    <row r="856">
      <c r="P856" s="53"/>
      <c r="R856" s="53"/>
      <c r="S856" s="53"/>
      <c r="T856" s="53"/>
      <c r="U856" s="53"/>
    </row>
    <row r="857">
      <c r="P857" s="53"/>
      <c r="R857" s="53"/>
      <c r="S857" s="53"/>
      <c r="T857" s="53"/>
      <c r="U857" s="53"/>
    </row>
    <row r="858">
      <c r="P858" s="53"/>
      <c r="R858" s="53"/>
      <c r="S858" s="53"/>
      <c r="T858" s="53"/>
      <c r="U858" s="53"/>
    </row>
    <row r="859">
      <c r="P859" s="53"/>
      <c r="R859" s="53"/>
      <c r="S859" s="53"/>
      <c r="T859" s="53"/>
      <c r="U859" s="53"/>
    </row>
    <row r="860">
      <c r="P860" s="53"/>
      <c r="R860" s="53"/>
      <c r="S860" s="53"/>
      <c r="T860" s="53"/>
      <c r="U860" s="53"/>
    </row>
    <row r="861">
      <c r="P861" s="53"/>
      <c r="R861" s="53"/>
      <c r="S861" s="53"/>
      <c r="T861" s="53"/>
      <c r="U861" s="53"/>
    </row>
    <row r="862">
      <c r="P862" s="53"/>
      <c r="R862" s="53"/>
      <c r="S862" s="53"/>
      <c r="T862" s="53"/>
      <c r="U862" s="53"/>
    </row>
    <row r="863">
      <c r="P863" s="53"/>
      <c r="R863" s="53"/>
      <c r="S863" s="53"/>
      <c r="T863" s="53"/>
      <c r="U863" s="53"/>
    </row>
    <row r="864">
      <c r="P864" s="53"/>
      <c r="R864" s="53"/>
      <c r="S864" s="53"/>
      <c r="T864" s="53"/>
      <c r="U864" s="53"/>
    </row>
    <row r="865">
      <c r="P865" s="53"/>
      <c r="R865" s="53"/>
      <c r="S865" s="53"/>
      <c r="T865" s="53"/>
      <c r="U865" s="53"/>
    </row>
    <row r="866">
      <c r="P866" s="53"/>
      <c r="R866" s="53"/>
      <c r="S866" s="53"/>
      <c r="T866" s="53"/>
      <c r="U866" s="53"/>
    </row>
    <row r="867">
      <c r="P867" s="53"/>
      <c r="R867" s="53"/>
      <c r="S867" s="53"/>
      <c r="T867" s="53"/>
      <c r="U867" s="53"/>
    </row>
    <row r="868">
      <c r="P868" s="53"/>
      <c r="R868" s="53"/>
      <c r="S868" s="53"/>
      <c r="T868" s="53"/>
      <c r="U868" s="53"/>
    </row>
    <row r="869">
      <c r="P869" s="53"/>
      <c r="R869" s="53"/>
      <c r="S869" s="53"/>
      <c r="T869" s="53"/>
      <c r="U869" s="53"/>
    </row>
    <row r="870">
      <c r="P870" s="53"/>
      <c r="R870" s="53"/>
      <c r="S870" s="53"/>
      <c r="T870" s="53"/>
      <c r="U870" s="53"/>
    </row>
    <row r="871">
      <c r="P871" s="53"/>
      <c r="R871" s="53"/>
      <c r="S871" s="53"/>
      <c r="T871" s="53"/>
      <c r="U871" s="53"/>
    </row>
    <row r="872">
      <c r="P872" s="53"/>
      <c r="R872" s="53"/>
      <c r="S872" s="53"/>
      <c r="T872" s="53"/>
      <c r="U872" s="53"/>
    </row>
    <row r="873">
      <c r="P873" s="53"/>
      <c r="R873" s="53"/>
      <c r="S873" s="53"/>
      <c r="T873" s="53"/>
      <c r="U873" s="53"/>
    </row>
    <row r="874">
      <c r="P874" s="53"/>
      <c r="R874" s="53"/>
      <c r="S874" s="53"/>
      <c r="T874" s="53"/>
      <c r="U874" s="53"/>
    </row>
    <row r="875">
      <c r="P875" s="53"/>
      <c r="R875" s="53"/>
      <c r="S875" s="53"/>
      <c r="T875" s="53"/>
      <c r="U875" s="53"/>
    </row>
    <row r="876">
      <c r="P876" s="53"/>
      <c r="R876" s="53"/>
      <c r="S876" s="53"/>
      <c r="T876" s="53"/>
      <c r="U876" s="53"/>
    </row>
    <row r="877">
      <c r="P877" s="53"/>
      <c r="R877" s="53"/>
      <c r="S877" s="53"/>
      <c r="T877" s="53"/>
      <c r="U877" s="53"/>
    </row>
    <row r="878">
      <c r="P878" s="53"/>
      <c r="R878" s="53"/>
      <c r="S878" s="53"/>
      <c r="T878" s="53"/>
      <c r="U878" s="53"/>
    </row>
    <row r="879">
      <c r="P879" s="53"/>
      <c r="R879" s="53"/>
      <c r="S879" s="53"/>
      <c r="T879" s="53"/>
      <c r="U879" s="53"/>
    </row>
    <row r="880">
      <c r="P880" s="53"/>
      <c r="R880" s="53"/>
      <c r="S880" s="53"/>
      <c r="T880" s="53"/>
      <c r="U880" s="53"/>
    </row>
    <row r="881">
      <c r="P881" s="53"/>
      <c r="R881" s="53"/>
      <c r="S881" s="53"/>
      <c r="T881" s="53"/>
      <c r="U881" s="53"/>
    </row>
    <row r="882">
      <c r="P882" s="53"/>
      <c r="R882" s="53"/>
      <c r="S882" s="53"/>
      <c r="T882" s="53"/>
      <c r="U882" s="53"/>
    </row>
    <row r="883">
      <c r="P883" s="53"/>
      <c r="R883" s="53"/>
      <c r="S883" s="53"/>
      <c r="T883" s="53"/>
      <c r="U883" s="53"/>
    </row>
    <row r="884">
      <c r="P884" s="53"/>
      <c r="R884" s="53"/>
      <c r="S884" s="53"/>
      <c r="T884" s="53"/>
      <c r="U884" s="53"/>
    </row>
    <row r="885">
      <c r="P885" s="53"/>
      <c r="R885" s="53"/>
      <c r="S885" s="53"/>
      <c r="T885" s="53"/>
      <c r="U885" s="53"/>
    </row>
    <row r="886">
      <c r="P886" s="53"/>
      <c r="R886" s="53"/>
      <c r="S886" s="53"/>
      <c r="T886" s="53"/>
      <c r="U886" s="53"/>
    </row>
    <row r="887">
      <c r="P887" s="53"/>
      <c r="R887" s="53"/>
      <c r="S887" s="53"/>
      <c r="T887" s="53"/>
      <c r="U887" s="53"/>
    </row>
    <row r="888">
      <c r="P888" s="53"/>
      <c r="R888" s="53"/>
      <c r="S888" s="53"/>
      <c r="T888" s="53"/>
      <c r="U888" s="53"/>
    </row>
    <row r="889">
      <c r="P889" s="53"/>
      <c r="R889" s="53"/>
      <c r="S889" s="53"/>
      <c r="T889" s="53"/>
      <c r="U889" s="53"/>
    </row>
    <row r="890">
      <c r="P890" s="53"/>
      <c r="R890" s="53"/>
      <c r="S890" s="53"/>
      <c r="T890" s="53"/>
      <c r="U890" s="53"/>
    </row>
    <row r="891">
      <c r="P891" s="53"/>
      <c r="R891" s="53"/>
      <c r="S891" s="53"/>
      <c r="T891" s="53"/>
      <c r="U891" s="53"/>
    </row>
    <row r="892">
      <c r="P892" s="53"/>
      <c r="R892" s="53"/>
      <c r="S892" s="53"/>
      <c r="T892" s="53"/>
      <c r="U892" s="53"/>
    </row>
    <row r="893">
      <c r="P893" s="53"/>
      <c r="R893" s="53"/>
      <c r="S893" s="53"/>
      <c r="T893" s="53"/>
      <c r="U893" s="53"/>
    </row>
    <row r="894">
      <c r="P894" s="53"/>
      <c r="R894" s="53"/>
      <c r="S894" s="53"/>
      <c r="T894" s="53"/>
      <c r="U894" s="53"/>
    </row>
    <row r="895">
      <c r="P895" s="53"/>
      <c r="R895" s="53"/>
      <c r="S895" s="53"/>
      <c r="T895" s="53"/>
      <c r="U895" s="53"/>
    </row>
    <row r="896">
      <c r="P896" s="53"/>
      <c r="R896" s="53"/>
      <c r="S896" s="53"/>
      <c r="T896" s="53"/>
      <c r="U896" s="53"/>
    </row>
    <row r="897">
      <c r="P897" s="53"/>
      <c r="R897" s="53"/>
      <c r="S897" s="53"/>
      <c r="T897" s="53"/>
      <c r="U897" s="53"/>
    </row>
    <row r="898">
      <c r="P898" s="53"/>
      <c r="R898" s="53"/>
      <c r="S898" s="53"/>
      <c r="T898" s="53"/>
      <c r="U898" s="53"/>
    </row>
    <row r="899">
      <c r="P899" s="53"/>
      <c r="R899" s="53"/>
      <c r="S899" s="53"/>
      <c r="T899" s="53"/>
      <c r="U899" s="53"/>
    </row>
    <row r="900">
      <c r="P900" s="53"/>
      <c r="R900" s="53"/>
      <c r="S900" s="53"/>
      <c r="T900" s="53"/>
      <c r="U900" s="53"/>
    </row>
    <row r="901">
      <c r="P901" s="53"/>
      <c r="R901" s="53"/>
      <c r="S901" s="53"/>
      <c r="T901" s="53"/>
      <c r="U901" s="53"/>
    </row>
    <row r="902">
      <c r="P902" s="53"/>
      <c r="R902" s="53"/>
      <c r="S902" s="53"/>
      <c r="T902" s="53"/>
      <c r="U902" s="53"/>
    </row>
    <row r="903">
      <c r="P903" s="53"/>
      <c r="R903" s="53"/>
      <c r="S903" s="53"/>
      <c r="T903" s="53"/>
      <c r="U903" s="53"/>
    </row>
    <row r="904">
      <c r="P904" s="53"/>
      <c r="R904" s="53"/>
      <c r="S904" s="53"/>
      <c r="T904" s="53"/>
      <c r="U904" s="53"/>
    </row>
    <row r="905">
      <c r="P905" s="53"/>
      <c r="R905" s="53"/>
      <c r="S905" s="53"/>
      <c r="T905" s="53"/>
      <c r="U905" s="53"/>
    </row>
    <row r="906">
      <c r="P906" s="53"/>
      <c r="R906" s="53"/>
      <c r="S906" s="53"/>
      <c r="T906" s="53"/>
      <c r="U906" s="53"/>
    </row>
    <row r="907">
      <c r="P907" s="53"/>
      <c r="R907" s="53"/>
      <c r="S907" s="53"/>
      <c r="T907" s="53"/>
      <c r="U907" s="53"/>
    </row>
    <row r="908">
      <c r="P908" s="53"/>
      <c r="R908" s="53"/>
      <c r="S908" s="53"/>
      <c r="T908" s="53"/>
      <c r="U908" s="53"/>
    </row>
    <row r="909">
      <c r="P909" s="53"/>
      <c r="R909" s="53"/>
      <c r="S909" s="53"/>
      <c r="T909" s="53"/>
      <c r="U909" s="53"/>
    </row>
    <row r="910">
      <c r="P910" s="53"/>
      <c r="R910" s="53"/>
      <c r="S910" s="53"/>
      <c r="T910" s="53"/>
      <c r="U910" s="53"/>
    </row>
    <row r="911">
      <c r="P911" s="53"/>
      <c r="R911" s="53"/>
      <c r="S911" s="53"/>
      <c r="T911" s="53"/>
      <c r="U911" s="53"/>
    </row>
    <row r="912">
      <c r="P912" s="53"/>
      <c r="R912" s="53"/>
      <c r="S912" s="53"/>
      <c r="T912" s="53"/>
      <c r="U912" s="53"/>
    </row>
    <row r="913">
      <c r="P913" s="53"/>
      <c r="R913" s="53"/>
      <c r="S913" s="53"/>
      <c r="T913" s="53"/>
      <c r="U913" s="53"/>
    </row>
    <row r="914">
      <c r="P914" s="53"/>
      <c r="R914" s="53"/>
      <c r="S914" s="53"/>
      <c r="T914" s="53"/>
      <c r="U914" s="53"/>
    </row>
    <row r="915">
      <c r="P915" s="53"/>
      <c r="R915" s="53"/>
      <c r="S915" s="53"/>
      <c r="T915" s="53"/>
      <c r="U915" s="53"/>
    </row>
    <row r="916">
      <c r="P916" s="53"/>
      <c r="R916" s="53"/>
      <c r="S916" s="53"/>
      <c r="T916" s="53"/>
      <c r="U916" s="53"/>
    </row>
    <row r="917">
      <c r="P917" s="53"/>
      <c r="R917" s="53"/>
      <c r="S917" s="53"/>
      <c r="T917" s="53"/>
      <c r="U917" s="53"/>
    </row>
    <row r="918">
      <c r="P918" s="53"/>
      <c r="R918" s="53"/>
      <c r="S918" s="53"/>
      <c r="T918" s="53"/>
      <c r="U918" s="53"/>
    </row>
    <row r="919">
      <c r="P919" s="53"/>
      <c r="R919" s="53"/>
      <c r="S919" s="53"/>
      <c r="T919" s="53"/>
      <c r="U919" s="53"/>
    </row>
    <row r="920">
      <c r="P920" s="53"/>
      <c r="R920" s="53"/>
      <c r="S920" s="53"/>
      <c r="T920" s="53"/>
      <c r="U920" s="53"/>
    </row>
    <row r="921">
      <c r="P921" s="53"/>
      <c r="R921" s="53"/>
      <c r="S921" s="53"/>
      <c r="T921" s="53"/>
      <c r="U921" s="53"/>
    </row>
    <row r="922">
      <c r="P922" s="53"/>
      <c r="R922" s="53"/>
      <c r="S922" s="53"/>
      <c r="T922" s="53"/>
      <c r="U922" s="53"/>
    </row>
    <row r="923">
      <c r="P923" s="53"/>
      <c r="R923" s="53"/>
      <c r="S923" s="53"/>
      <c r="T923" s="53"/>
      <c r="U923" s="53"/>
    </row>
    <row r="924">
      <c r="P924" s="53"/>
      <c r="R924" s="53"/>
      <c r="S924" s="53"/>
      <c r="T924" s="53"/>
      <c r="U924" s="53"/>
    </row>
    <row r="925">
      <c r="P925" s="53"/>
      <c r="R925" s="53"/>
      <c r="S925" s="53"/>
      <c r="T925" s="53"/>
      <c r="U925" s="53"/>
    </row>
    <row r="926">
      <c r="P926" s="53"/>
      <c r="R926" s="53"/>
      <c r="S926" s="53"/>
      <c r="T926" s="53"/>
      <c r="U926" s="53"/>
    </row>
    <row r="927">
      <c r="P927" s="53"/>
      <c r="R927" s="53"/>
      <c r="S927" s="53"/>
      <c r="T927" s="53"/>
      <c r="U927" s="53"/>
    </row>
    <row r="928">
      <c r="P928" s="53"/>
      <c r="R928" s="53"/>
      <c r="S928" s="53"/>
      <c r="T928" s="53"/>
      <c r="U928" s="53"/>
    </row>
    <row r="929">
      <c r="P929" s="53"/>
      <c r="R929" s="53"/>
      <c r="S929" s="53"/>
      <c r="T929" s="53"/>
      <c r="U929" s="53"/>
    </row>
    <row r="930">
      <c r="P930" s="53"/>
      <c r="R930" s="53"/>
      <c r="S930" s="53"/>
      <c r="T930" s="53"/>
      <c r="U930" s="53"/>
    </row>
    <row r="931">
      <c r="P931" s="53"/>
      <c r="R931" s="53"/>
      <c r="S931" s="53"/>
      <c r="T931" s="53"/>
      <c r="U931" s="53"/>
    </row>
    <row r="932">
      <c r="P932" s="53"/>
      <c r="R932" s="53"/>
      <c r="S932" s="53"/>
      <c r="T932" s="53"/>
      <c r="U932" s="53"/>
    </row>
    <row r="933">
      <c r="P933" s="53"/>
      <c r="R933" s="53"/>
      <c r="S933" s="53"/>
      <c r="T933" s="53"/>
      <c r="U933" s="53"/>
    </row>
    <row r="934">
      <c r="P934" s="53"/>
      <c r="R934" s="53"/>
      <c r="S934" s="53"/>
      <c r="T934" s="53"/>
      <c r="U934" s="53"/>
    </row>
    <row r="935">
      <c r="P935" s="53"/>
      <c r="R935" s="53"/>
      <c r="S935" s="53"/>
      <c r="T935" s="53"/>
      <c r="U935" s="53"/>
    </row>
    <row r="936">
      <c r="P936" s="53"/>
      <c r="R936" s="53"/>
      <c r="S936" s="53"/>
      <c r="T936" s="53"/>
      <c r="U936" s="53"/>
    </row>
    <row r="937">
      <c r="P937" s="53"/>
      <c r="R937" s="53"/>
      <c r="S937" s="53"/>
      <c r="T937" s="53"/>
      <c r="U937" s="53"/>
    </row>
    <row r="938">
      <c r="P938" s="53"/>
      <c r="R938" s="53"/>
      <c r="S938" s="53"/>
      <c r="T938" s="53"/>
      <c r="U938" s="53"/>
    </row>
    <row r="939">
      <c r="P939" s="53"/>
      <c r="R939" s="53"/>
      <c r="S939" s="53"/>
      <c r="T939" s="53"/>
      <c r="U939" s="53"/>
    </row>
    <row r="940">
      <c r="P940" s="53"/>
      <c r="R940" s="53"/>
      <c r="S940" s="53"/>
      <c r="T940" s="53"/>
      <c r="U940" s="53"/>
    </row>
    <row r="941">
      <c r="P941" s="53"/>
      <c r="R941" s="53"/>
      <c r="S941" s="53"/>
      <c r="T941" s="53"/>
      <c r="U941" s="53"/>
    </row>
    <row r="942">
      <c r="P942" s="53"/>
      <c r="R942" s="53"/>
      <c r="S942" s="53"/>
      <c r="T942" s="53"/>
      <c r="U942" s="53"/>
    </row>
    <row r="943">
      <c r="P943" s="53"/>
      <c r="R943" s="53"/>
      <c r="S943" s="53"/>
      <c r="T943" s="53"/>
      <c r="U943" s="53"/>
    </row>
    <row r="944">
      <c r="P944" s="53"/>
      <c r="R944" s="53"/>
      <c r="S944" s="53"/>
      <c r="T944" s="53"/>
      <c r="U944" s="53"/>
    </row>
    <row r="945">
      <c r="P945" s="53"/>
      <c r="R945" s="53"/>
      <c r="S945" s="53"/>
      <c r="T945" s="53"/>
      <c r="U945" s="53"/>
    </row>
    <row r="946">
      <c r="P946" s="53"/>
      <c r="R946" s="53"/>
      <c r="S946" s="53"/>
      <c r="T946" s="53"/>
      <c r="U946" s="53"/>
    </row>
    <row r="947">
      <c r="P947" s="53"/>
      <c r="R947" s="53"/>
      <c r="S947" s="53"/>
      <c r="T947" s="53"/>
      <c r="U947" s="53"/>
    </row>
    <row r="948">
      <c r="P948" s="53"/>
      <c r="R948" s="53"/>
      <c r="S948" s="53"/>
      <c r="T948" s="53"/>
      <c r="U948" s="53"/>
    </row>
    <row r="949">
      <c r="P949" s="53"/>
      <c r="R949" s="53"/>
      <c r="S949" s="53"/>
      <c r="T949" s="53"/>
      <c r="U949" s="53"/>
    </row>
    <row r="950">
      <c r="P950" s="53"/>
      <c r="R950" s="53"/>
      <c r="S950" s="53"/>
      <c r="T950" s="53"/>
      <c r="U950" s="53"/>
    </row>
    <row r="951">
      <c r="P951" s="53"/>
      <c r="R951" s="53"/>
      <c r="S951" s="53"/>
      <c r="T951" s="53"/>
      <c r="U951" s="53"/>
    </row>
    <row r="952">
      <c r="P952" s="53"/>
      <c r="R952" s="53"/>
      <c r="S952" s="53"/>
      <c r="T952" s="53"/>
      <c r="U952" s="53"/>
    </row>
    <row r="953">
      <c r="P953" s="53"/>
      <c r="R953" s="53"/>
      <c r="S953" s="53"/>
      <c r="T953" s="53"/>
      <c r="U953" s="53"/>
    </row>
    <row r="954">
      <c r="P954" s="53"/>
      <c r="R954" s="53"/>
      <c r="S954" s="53"/>
      <c r="T954" s="53"/>
      <c r="U954" s="53"/>
    </row>
    <row r="955">
      <c r="P955" s="53"/>
      <c r="R955" s="53"/>
      <c r="S955" s="53"/>
      <c r="T955" s="53"/>
      <c r="U955" s="53"/>
    </row>
    <row r="956">
      <c r="P956" s="53"/>
      <c r="R956" s="53"/>
      <c r="S956" s="53"/>
      <c r="T956" s="53"/>
      <c r="U956" s="53"/>
    </row>
    <row r="957">
      <c r="P957" s="53"/>
      <c r="R957" s="53"/>
      <c r="S957" s="53"/>
      <c r="T957" s="53"/>
      <c r="U957" s="53"/>
    </row>
    <row r="958">
      <c r="P958" s="53"/>
      <c r="R958" s="53"/>
      <c r="S958" s="53"/>
      <c r="T958" s="53"/>
      <c r="U958" s="53"/>
    </row>
    <row r="959">
      <c r="P959" s="53"/>
      <c r="R959" s="53"/>
      <c r="S959" s="53"/>
      <c r="T959" s="53"/>
      <c r="U959" s="53"/>
    </row>
    <row r="960">
      <c r="P960" s="53"/>
      <c r="R960" s="53"/>
      <c r="S960" s="53"/>
      <c r="T960" s="53"/>
      <c r="U960" s="53"/>
    </row>
    <row r="961">
      <c r="P961" s="53"/>
      <c r="R961" s="53"/>
      <c r="S961" s="53"/>
      <c r="T961" s="53"/>
      <c r="U961" s="53"/>
    </row>
    <row r="962">
      <c r="P962" s="53"/>
      <c r="R962" s="53"/>
      <c r="S962" s="53"/>
      <c r="T962" s="53"/>
      <c r="U962" s="53"/>
    </row>
    <row r="963">
      <c r="P963" s="53"/>
      <c r="R963" s="53"/>
      <c r="S963" s="53"/>
      <c r="T963" s="53"/>
      <c r="U963" s="53"/>
    </row>
    <row r="964">
      <c r="P964" s="53"/>
      <c r="R964" s="53"/>
      <c r="S964" s="53"/>
      <c r="T964" s="53"/>
      <c r="U964" s="53"/>
    </row>
    <row r="965">
      <c r="P965" s="53"/>
      <c r="R965" s="53"/>
      <c r="S965" s="53"/>
      <c r="T965" s="53"/>
      <c r="U965" s="53"/>
    </row>
    <row r="966">
      <c r="P966" s="53"/>
      <c r="R966" s="53"/>
      <c r="S966" s="53"/>
      <c r="T966" s="53"/>
      <c r="U966" s="53"/>
    </row>
    <row r="967">
      <c r="P967" s="53"/>
      <c r="R967" s="53"/>
      <c r="S967" s="53"/>
      <c r="T967" s="53"/>
      <c r="U967" s="53"/>
    </row>
    <row r="968">
      <c r="P968" s="53"/>
      <c r="R968" s="53"/>
      <c r="S968" s="53"/>
      <c r="T968" s="53"/>
      <c r="U968" s="53"/>
    </row>
    <row r="969">
      <c r="P969" s="53"/>
      <c r="R969" s="53"/>
      <c r="S969" s="53"/>
      <c r="T969" s="53"/>
      <c r="U969" s="53"/>
    </row>
    <row r="970">
      <c r="P970" s="53"/>
      <c r="R970" s="53"/>
      <c r="S970" s="53"/>
      <c r="T970" s="53"/>
      <c r="U970" s="53"/>
    </row>
    <row r="971">
      <c r="P971" s="53"/>
      <c r="R971" s="53"/>
      <c r="S971" s="53"/>
      <c r="T971" s="53"/>
      <c r="U971" s="53"/>
    </row>
    <row r="972">
      <c r="P972" s="53"/>
      <c r="R972" s="53"/>
      <c r="S972" s="53"/>
      <c r="T972" s="53"/>
      <c r="U972" s="53"/>
    </row>
    <row r="973">
      <c r="P973" s="53"/>
      <c r="R973" s="53"/>
      <c r="S973" s="53"/>
      <c r="T973" s="53"/>
      <c r="U973" s="53"/>
    </row>
    <row r="974">
      <c r="P974" s="53"/>
      <c r="R974" s="53"/>
      <c r="S974" s="53"/>
      <c r="T974" s="53"/>
      <c r="U974" s="53"/>
    </row>
    <row r="975">
      <c r="P975" s="53"/>
      <c r="R975" s="53"/>
      <c r="S975" s="53"/>
      <c r="T975" s="53"/>
      <c r="U975" s="53"/>
    </row>
    <row r="976">
      <c r="P976" s="53"/>
      <c r="R976" s="53"/>
      <c r="S976" s="53"/>
      <c r="T976" s="53"/>
      <c r="U976" s="53"/>
    </row>
    <row r="977">
      <c r="P977" s="53"/>
      <c r="R977" s="53"/>
      <c r="S977" s="53"/>
      <c r="T977" s="53"/>
      <c r="U977" s="53"/>
    </row>
    <row r="978">
      <c r="P978" s="53"/>
      <c r="R978" s="53"/>
      <c r="S978" s="53"/>
      <c r="T978" s="53"/>
      <c r="U978" s="53"/>
    </row>
    <row r="979">
      <c r="P979" s="53"/>
      <c r="R979" s="53"/>
      <c r="S979" s="53"/>
      <c r="T979" s="53"/>
      <c r="U979" s="53"/>
    </row>
    <row r="980">
      <c r="P980" s="53"/>
      <c r="R980" s="53"/>
      <c r="S980" s="53"/>
      <c r="T980" s="53"/>
      <c r="U980" s="53"/>
    </row>
    <row r="981">
      <c r="P981" s="53"/>
      <c r="R981" s="53"/>
      <c r="S981" s="53"/>
      <c r="T981" s="53"/>
      <c r="U981" s="53"/>
    </row>
    <row r="982">
      <c r="P982" s="53"/>
      <c r="R982" s="53"/>
      <c r="S982" s="53"/>
      <c r="T982" s="53"/>
      <c r="U982" s="53"/>
    </row>
    <row r="983">
      <c r="P983" s="53"/>
      <c r="R983" s="53"/>
      <c r="S983" s="53"/>
      <c r="T983" s="53"/>
      <c r="U983" s="53"/>
    </row>
    <row r="984">
      <c r="P984" s="53"/>
      <c r="R984" s="53"/>
      <c r="S984" s="53"/>
      <c r="T984" s="53"/>
      <c r="U984" s="53"/>
    </row>
    <row r="985">
      <c r="P985" s="53"/>
      <c r="R985" s="53"/>
      <c r="S985" s="53"/>
      <c r="T985" s="53"/>
      <c r="U985" s="53"/>
    </row>
    <row r="986">
      <c r="P986" s="53"/>
      <c r="R986" s="53"/>
      <c r="S986" s="53"/>
      <c r="T986" s="53"/>
      <c r="U986" s="53"/>
    </row>
    <row r="987">
      <c r="P987" s="53"/>
      <c r="R987" s="53"/>
      <c r="S987" s="53"/>
      <c r="T987" s="53"/>
      <c r="U987" s="53"/>
    </row>
    <row r="988">
      <c r="P988" s="53"/>
      <c r="R988" s="53"/>
      <c r="S988" s="53"/>
      <c r="T988" s="53"/>
      <c r="U988" s="5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6.75"/>
    <col customWidth="1" min="3" max="3" width="50.38"/>
    <col customWidth="1" min="4" max="4" width="12.0"/>
    <col customWidth="1" min="5" max="5" width="17.5"/>
    <col customWidth="1" min="6" max="6" width="19.0"/>
    <col customWidth="1" min="7" max="7" width="15.63"/>
    <col customWidth="1" min="8" max="8" width="18.25"/>
  </cols>
  <sheetData>
    <row r="1">
      <c r="E1" s="57"/>
      <c r="F1" s="57"/>
      <c r="G1" s="57"/>
      <c r="H1" s="57"/>
      <c r="I1" s="57"/>
    </row>
    <row r="2">
      <c r="A2" s="49" t="s">
        <v>383</v>
      </c>
      <c r="B2" s="49"/>
      <c r="C2" s="49" t="s">
        <v>384</v>
      </c>
      <c r="D2" s="49" t="s">
        <v>385</v>
      </c>
      <c r="E2" s="57"/>
      <c r="F2" s="57"/>
      <c r="G2" s="57"/>
      <c r="H2" s="57"/>
      <c r="I2" s="57"/>
    </row>
    <row r="3">
      <c r="A3" s="58" t="s">
        <v>386</v>
      </c>
      <c r="B3" s="58" t="s">
        <v>387</v>
      </c>
      <c r="C3" s="49"/>
      <c r="D3" s="49"/>
      <c r="E3" s="59"/>
      <c r="F3" s="60"/>
      <c r="G3" s="61"/>
      <c r="H3" s="60"/>
      <c r="I3" s="59"/>
    </row>
    <row r="4">
      <c r="A4" s="62" t="s">
        <v>388</v>
      </c>
      <c r="B4" s="62" t="s">
        <v>389</v>
      </c>
      <c r="C4" s="49" t="s">
        <v>390</v>
      </c>
      <c r="D4" s="49" t="s">
        <v>391</v>
      </c>
      <c r="E4" s="60" t="s">
        <v>392</v>
      </c>
      <c r="F4" s="60" t="s">
        <v>393</v>
      </c>
      <c r="G4" s="49" t="s">
        <v>394</v>
      </c>
      <c r="H4" s="49"/>
    </row>
    <row r="5">
      <c r="A5" s="62" t="s">
        <v>388</v>
      </c>
      <c r="B5" s="62" t="s">
        <v>389</v>
      </c>
      <c r="C5" s="63" t="s">
        <v>395</v>
      </c>
      <c r="D5" s="49" t="s">
        <v>391</v>
      </c>
      <c r="E5" s="60" t="s">
        <v>396</v>
      </c>
      <c r="F5" s="60" t="s">
        <v>397</v>
      </c>
      <c r="G5" s="57"/>
      <c r="H5" s="60"/>
      <c r="I5" s="60"/>
      <c r="J5" s="49"/>
      <c r="K5" s="49"/>
      <c r="L5" s="49"/>
      <c r="M5" s="49"/>
      <c r="N5" s="49"/>
      <c r="O5" s="49"/>
    </row>
    <row r="6">
      <c r="A6" s="62" t="s">
        <v>388</v>
      </c>
      <c r="B6" s="62" t="s">
        <v>398</v>
      </c>
      <c r="C6" s="49" t="s">
        <v>399</v>
      </c>
      <c r="D6" s="49" t="s">
        <v>391</v>
      </c>
      <c r="E6" s="60" t="s">
        <v>400</v>
      </c>
      <c r="F6" s="60" t="s">
        <v>401</v>
      </c>
      <c r="G6" s="60" t="s">
        <v>402</v>
      </c>
      <c r="H6" s="60"/>
      <c r="I6" s="60"/>
      <c r="J6" s="49"/>
      <c r="K6" s="49"/>
      <c r="L6" s="49"/>
      <c r="M6" s="49"/>
      <c r="N6" s="49"/>
      <c r="O6" s="49"/>
    </row>
    <row r="7">
      <c r="A7" s="62" t="s">
        <v>388</v>
      </c>
      <c r="B7" s="62" t="s">
        <v>398</v>
      </c>
      <c r="C7" s="63" t="s">
        <v>403</v>
      </c>
      <c r="D7" s="49" t="s">
        <v>404</v>
      </c>
      <c r="E7" s="60" t="s">
        <v>318</v>
      </c>
      <c r="F7" s="60" t="s">
        <v>330</v>
      </c>
      <c r="G7" s="57"/>
      <c r="H7" s="60"/>
      <c r="I7" s="60"/>
      <c r="J7" s="49"/>
      <c r="K7" s="49"/>
      <c r="L7" s="49"/>
      <c r="M7" s="49"/>
      <c r="N7" s="49"/>
      <c r="O7" s="49"/>
    </row>
    <row r="8">
      <c r="A8" s="62" t="s">
        <v>388</v>
      </c>
      <c r="B8" s="62" t="s">
        <v>405</v>
      </c>
      <c r="C8" s="63" t="s">
        <v>406</v>
      </c>
      <c r="D8" s="49" t="s">
        <v>404</v>
      </c>
      <c r="E8" s="60" t="s">
        <v>318</v>
      </c>
      <c r="F8" s="60" t="s">
        <v>330</v>
      </c>
      <c r="G8" s="60"/>
      <c r="H8" s="60"/>
      <c r="I8" s="60"/>
      <c r="J8" s="49"/>
      <c r="K8" s="49"/>
      <c r="L8" s="49"/>
      <c r="M8" s="49"/>
      <c r="N8" s="49"/>
      <c r="O8" s="49"/>
    </row>
    <row r="9">
      <c r="A9" s="62" t="s">
        <v>388</v>
      </c>
      <c r="B9" s="62" t="s">
        <v>405</v>
      </c>
      <c r="C9" s="63" t="s">
        <v>407</v>
      </c>
      <c r="D9" s="49" t="s">
        <v>404</v>
      </c>
      <c r="E9" s="60" t="s">
        <v>318</v>
      </c>
      <c r="F9" s="60" t="s">
        <v>330</v>
      </c>
      <c r="G9" s="60"/>
      <c r="H9" s="60"/>
      <c r="I9" s="60"/>
      <c r="J9" s="49"/>
      <c r="K9" s="49"/>
      <c r="L9" s="49"/>
      <c r="M9" s="49"/>
      <c r="N9" s="49"/>
      <c r="O9" s="49"/>
    </row>
    <row r="10">
      <c r="A10" s="62" t="s">
        <v>388</v>
      </c>
      <c r="B10" s="62" t="s">
        <v>405</v>
      </c>
      <c r="C10" s="63" t="s">
        <v>408</v>
      </c>
      <c r="D10" s="49" t="s">
        <v>404</v>
      </c>
      <c r="E10" s="60" t="s">
        <v>318</v>
      </c>
      <c r="F10" s="60" t="s">
        <v>330</v>
      </c>
      <c r="G10" s="60"/>
      <c r="H10" s="60"/>
      <c r="I10" s="60"/>
      <c r="J10" s="49"/>
      <c r="K10" s="49"/>
      <c r="L10" s="49"/>
      <c r="M10" s="49"/>
      <c r="N10" s="49"/>
      <c r="O10" s="49"/>
    </row>
    <row r="11">
      <c r="A11" s="62" t="s">
        <v>388</v>
      </c>
      <c r="B11" s="62" t="s">
        <v>398</v>
      </c>
      <c r="C11" s="63" t="s">
        <v>409</v>
      </c>
      <c r="D11" s="49" t="s">
        <v>404</v>
      </c>
      <c r="E11" s="60" t="s">
        <v>318</v>
      </c>
      <c r="F11" s="60" t="s">
        <v>330</v>
      </c>
      <c r="G11" s="60"/>
      <c r="H11" s="60"/>
      <c r="I11" s="60"/>
      <c r="J11" s="49"/>
      <c r="K11" s="49"/>
      <c r="L11" s="49"/>
      <c r="M11" s="49"/>
      <c r="N11" s="49"/>
      <c r="O11" s="49"/>
    </row>
    <row r="12">
      <c r="A12" s="62" t="s">
        <v>388</v>
      </c>
      <c r="B12" s="62" t="s">
        <v>405</v>
      </c>
      <c r="C12" s="63" t="s">
        <v>410</v>
      </c>
      <c r="D12" s="49" t="s">
        <v>404</v>
      </c>
      <c r="E12" s="60" t="s">
        <v>318</v>
      </c>
      <c r="F12" s="60" t="s">
        <v>330</v>
      </c>
      <c r="G12" s="60"/>
      <c r="H12" s="60"/>
      <c r="I12" s="60"/>
      <c r="J12" s="49"/>
      <c r="K12" s="49"/>
      <c r="L12" s="49"/>
      <c r="M12" s="49"/>
      <c r="N12" s="49"/>
      <c r="O12" s="49"/>
    </row>
    <row r="13">
      <c r="A13" s="62" t="s">
        <v>388</v>
      </c>
      <c r="B13" s="62" t="s">
        <v>398</v>
      </c>
      <c r="C13" s="49" t="s">
        <v>411</v>
      </c>
      <c r="D13" s="49" t="s">
        <v>412</v>
      </c>
      <c r="E13" s="60" t="s">
        <v>413</v>
      </c>
      <c r="F13" s="60" t="s">
        <v>414</v>
      </c>
      <c r="G13" s="49" t="s">
        <v>415</v>
      </c>
      <c r="H13" s="49" t="s">
        <v>416</v>
      </c>
      <c r="I13" s="60" t="s">
        <v>417</v>
      </c>
      <c r="J13" s="49"/>
      <c r="K13" s="49"/>
      <c r="L13" s="49"/>
      <c r="M13" s="49"/>
      <c r="N13" s="49"/>
      <c r="O13" s="49"/>
    </row>
    <row r="14">
      <c r="A14" s="62" t="s">
        <v>388</v>
      </c>
      <c r="B14" s="62" t="s">
        <v>398</v>
      </c>
      <c r="C14" s="49" t="s">
        <v>418</v>
      </c>
      <c r="D14" s="49" t="s">
        <v>412</v>
      </c>
      <c r="E14" s="60" t="s">
        <v>413</v>
      </c>
      <c r="F14" s="60" t="s">
        <v>414</v>
      </c>
      <c r="G14" s="49" t="s">
        <v>415</v>
      </c>
      <c r="H14" s="49" t="s">
        <v>416</v>
      </c>
      <c r="I14" s="60" t="s">
        <v>417</v>
      </c>
      <c r="J14" s="49"/>
      <c r="K14" s="49"/>
      <c r="L14" s="49"/>
      <c r="M14" s="49"/>
      <c r="N14" s="49"/>
      <c r="O14" s="49"/>
    </row>
    <row r="15">
      <c r="A15" s="62" t="s">
        <v>388</v>
      </c>
      <c r="B15" s="62" t="s">
        <v>398</v>
      </c>
      <c r="C15" s="49" t="s">
        <v>419</v>
      </c>
      <c r="D15" s="49" t="s">
        <v>404</v>
      </c>
      <c r="E15" s="60" t="s">
        <v>318</v>
      </c>
      <c r="F15" s="60" t="s">
        <v>330</v>
      </c>
      <c r="G15" s="60"/>
      <c r="H15" s="60"/>
      <c r="I15" s="60"/>
      <c r="J15" s="49"/>
      <c r="K15" s="49"/>
      <c r="L15" s="49"/>
      <c r="M15" s="49"/>
      <c r="N15" s="49"/>
      <c r="O15" s="49"/>
    </row>
    <row r="16">
      <c r="A16" s="62" t="s">
        <v>388</v>
      </c>
      <c r="B16" s="62" t="s">
        <v>405</v>
      </c>
      <c r="C16" s="49" t="s">
        <v>420</v>
      </c>
      <c r="D16" s="49" t="s">
        <v>404</v>
      </c>
      <c r="E16" s="60" t="s">
        <v>318</v>
      </c>
      <c r="F16" s="60" t="s">
        <v>330</v>
      </c>
      <c r="G16" s="60"/>
      <c r="H16" s="60"/>
      <c r="I16" s="60"/>
      <c r="J16" s="49"/>
      <c r="K16" s="49"/>
      <c r="L16" s="49"/>
      <c r="M16" s="49"/>
      <c r="N16" s="49"/>
      <c r="O16" s="49"/>
    </row>
    <row r="17">
      <c r="A17" s="62" t="s">
        <v>388</v>
      </c>
      <c r="B17" s="62" t="s">
        <v>398</v>
      </c>
      <c r="C17" s="49" t="s">
        <v>421</v>
      </c>
      <c r="D17" s="49" t="s">
        <v>404</v>
      </c>
      <c r="E17" s="60" t="s">
        <v>318</v>
      </c>
      <c r="F17" s="60" t="s">
        <v>330</v>
      </c>
      <c r="G17" s="60"/>
      <c r="H17" s="60"/>
      <c r="I17" s="60"/>
      <c r="J17" s="49"/>
      <c r="K17" s="49"/>
      <c r="L17" s="49"/>
      <c r="M17" s="49"/>
      <c r="N17" s="49"/>
      <c r="O17" s="49"/>
    </row>
    <row r="18">
      <c r="A18" s="62" t="s">
        <v>388</v>
      </c>
      <c r="B18" s="62" t="s">
        <v>389</v>
      </c>
      <c r="C18" s="49" t="s">
        <v>422</v>
      </c>
      <c r="D18" s="49" t="s">
        <v>412</v>
      </c>
      <c r="E18" s="60" t="s">
        <v>318</v>
      </c>
      <c r="F18" s="60" t="s">
        <v>330</v>
      </c>
      <c r="G18" s="60" t="s">
        <v>423</v>
      </c>
      <c r="H18" s="60"/>
      <c r="I18" s="60"/>
      <c r="J18" s="49"/>
      <c r="K18" s="49"/>
      <c r="L18" s="49"/>
      <c r="M18" s="49"/>
      <c r="N18" s="49"/>
      <c r="O18" s="49"/>
    </row>
    <row r="19">
      <c r="A19" s="62" t="s">
        <v>388</v>
      </c>
      <c r="B19" s="62" t="s">
        <v>389</v>
      </c>
      <c r="C19" s="49" t="s">
        <v>424</v>
      </c>
      <c r="D19" s="49" t="s">
        <v>412</v>
      </c>
      <c r="E19" s="60" t="s">
        <v>318</v>
      </c>
      <c r="F19" s="60" t="s">
        <v>330</v>
      </c>
      <c r="G19" s="60" t="s">
        <v>423</v>
      </c>
      <c r="H19" s="60"/>
      <c r="I19" s="60"/>
      <c r="J19" s="49"/>
      <c r="K19" s="49"/>
      <c r="L19" s="49"/>
      <c r="M19" s="49"/>
      <c r="N19" s="49"/>
      <c r="O19" s="49"/>
    </row>
    <row r="20">
      <c r="A20" s="62" t="s">
        <v>388</v>
      </c>
      <c r="B20" s="62" t="s">
        <v>389</v>
      </c>
      <c r="C20" s="49" t="s">
        <v>425</v>
      </c>
      <c r="D20" s="49" t="s">
        <v>412</v>
      </c>
      <c r="E20" s="60" t="s">
        <v>318</v>
      </c>
      <c r="F20" s="60" t="s">
        <v>330</v>
      </c>
      <c r="G20" s="60" t="s">
        <v>423</v>
      </c>
      <c r="H20" s="60"/>
      <c r="I20" s="60"/>
      <c r="J20" s="49"/>
      <c r="K20" s="49"/>
      <c r="L20" s="49"/>
      <c r="M20" s="49"/>
      <c r="N20" s="49"/>
      <c r="O20" s="49"/>
    </row>
    <row r="21">
      <c r="A21" s="62" t="s">
        <v>388</v>
      </c>
      <c r="B21" s="62" t="s">
        <v>398</v>
      </c>
      <c r="C21" s="49" t="s">
        <v>426</v>
      </c>
      <c r="D21" s="49" t="s">
        <v>412</v>
      </c>
      <c r="E21" s="60" t="s">
        <v>318</v>
      </c>
      <c r="F21" s="60" t="s">
        <v>330</v>
      </c>
      <c r="G21" s="60" t="s">
        <v>423</v>
      </c>
      <c r="H21" s="60"/>
      <c r="I21" s="60"/>
      <c r="J21" s="49"/>
      <c r="K21" s="49"/>
      <c r="L21" s="49"/>
      <c r="M21" s="49"/>
      <c r="N21" s="49"/>
      <c r="O21" s="49"/>
    </row>
    <row r="22">
      <c r="A22" s="62" t="s">
        <v>388</v>
      </c>
      <c r="B22" s="62" t="s">
        <v>398</v>
      </c>
      <c r="C22" s="49" t="s">
        <v>427</v>
      </c>
      <c r="D22" s="49" t="s">
        <v>412</v>
      </c>
      <c r="E22" s="60" t="s">
        <v>318</v>
      </c>
      <c r="F22" s="60" t="s">
        <v>330</v>
      </c>
      <c r="G22" s="60" t="s">
        <v>423</v>
      </c>
      <c r="H22" s="60"/>
      <c r="I22" s="60"/>
      <c r="J22" s="49"/>
      <c r="K22" s="49"/>
      <c r="L22" s="49"/>
      <c r="M22" s="49"/>
      <c r="N22" s="49"/>
      <c r="O22" s="49"/>
    </row>
    <row r="23">
      <c r="A23" s="62" t="s">
        <v>388</v>
      </c>
      <c r="B23" s="62" t="s">
        <v>398</v>
      </c>
      <c r="C23" s="49" t="s">
        <v>428</v>
      </c>
      <c r="D23" s="49" t="s">
        <v>412</v>
      </c>
      <c r="E23" s="60" t="s">
        <v>318</v>
      </c>
      <c r="F23" s="60" t="s">
        <v>330</v>
      </c>
      <c r="G23" s="60" t="s">
        <v>423</v>
      </c>
      <c r="H23" s="60"/>
      <c r="I23" s="60"/>
      <c r="J23" s="49"/>
      <c r="K23" s="49"/>
      <c r="L23" s="49"/>
      <c r="M23" s="49"/>
      <c r="N23" s="49"/>
      <c r="O23" s="49"/>
    </row>
    <row r="24">
      <c r="A24" s="62" t="s">
        <v>388</v>
      </c>
      <c r="B24" s="62" t="s">
        <v>398</v>
      </c>
      <c r="C24" s="49" t="s">
        <v>429</v>
      </c>
      <c r="D24" s="49" t="s">
        <v>412</v>
      </c>
      <c r="E24" s="60" t="s">
        <v>318</v>
      </c>
      <c r="F24" s="60" t="s">
        <v>330</v>
      </c>
      <c r="G24" s="60" t="s">
        <v>423</v>
      </c>
      <c r="H24" s="60"/>
      <c r="I24" s="60"/>
      <c r="J24" s="49"/>
      <c r="K24" s="49"/>
      <c r="L24" s="49"/>
      <c r="M24" s="49"/>
      <c r="N24" s="49"/>
      <c r="O24" s="49"/>
    </row>
    <row r="25">
      <c r="A25" s="62" t="s">
        <v>388</v>
      </c>
      <c r="B25" s="62" t="s">
        <v>398</v>
      </c>
      <c r="C25" s="49" t="s">
        <v>430</v>
      </c>
      <c r="D25" s="49" t="s">
        <v>412</v>
      </c>
      <c r="E25" s="60" t="s">
        <v>318</v>
      </c>
      <c r="F25" s="60" t="s">
        <v>330</v>
      </c>
      <c r="G25" s="60" t="s">
        <v>423</v>
      </c>
      <c r="H25" s="60"/>
      <c r="I25" s="60"/>
      <c r="J25" s="49"/>
      <c r="K25" s="49"/>
      <c r="L25" s="49"/>
      <c r="M25" s="49"/>
      <c r="N25" s="49"/>
      <c r="O25" s="49"/>
    </row>
    <row r="26">
      <c r="A26" s="62" t="s">
        <v>388</v>
      </c>
      <c r="B26" s="62" t="s">
        <v>398</v>
      </c>
      <c r="C26" s="49" t="s">
        <v>431</v>
      </c>
      <c r="D26" s="49" t="s">
        <v>412</v>
      </c>
      <c r="E26" s="60" t="s">
        <v>318</v>
      </c>
      <c r="F26" s="60" t="s">
        <v>330</v>
      </c>
      <c r="G26" s="60" t="s">
        <v>423</v>
      </c>
      <c r="H26" s="60"/>
      <c r="I26" s="60"/>
      <c r="J26" s="49"/>
      <c r="K26" s="49"/>
      <c r="L26" s="49"/>
      <c r="M26" s="49"/>
      <c r="N26" s="49"/>
      <c r="O26" s="49"/>
    </row>
    <row r="27">
      <c r="A27" s="62" t="s">
        <v>388</v>
      </c>
      <c r="B27" s="62" t="s">
        <v>389</v>
      </c>
      <c r="C27" s="49" t="s">
        <v>432</v>
      </c>
      <c r="D27" s="49" t="s">
        <v>412</v>
      </c>
      <c r="E27" s="60" t="s">
        <v>318</v>
      </c>
      <c r="F27" s="60" t="s">
        <v>330</v>
      </c>
      <c r="G27" s="60" t="s">
        <v>423</v>
      </c>
      <c r="H27" s="60"/>
      <c r="I27" s="60"/>
      <c r="J27" s="49"/>
      <c r="K27" s="49"/>
      <c r="L27" s="49"/>
      <c r="M27" s="49"/>
      <c r="N27" s="49"/>
      <c r="O27" s="49"/>
    </row>
    <row r="28">
      <c r="A28" s="62" t="s">
        <v>388</v>
      </c>
      <c r="B28" s="62" t="s">
        <v>389</v>
      </c>
      <c r="C28" s="49" t="s">
        <v>433</v>
      </c>
      <c r="D28" s="49" t="s">
        <v>412</v>
      </c>
      <c r="E28" s="60" t="s">
        <v>318</v>
      </c>
      <c r="F28" s="60" t="s">
        <v>330</v>
      </c>
      <c r="G28" s="60" t="s">
        <v>423</v>
      </c>
      <c r="H28" s="60"/>
      <c r="I28" s="60"/>
      <c r="J28" s="49"/>
      <c r="K28" s="49"/>
      <c r="L28" s="49"/>
      <c r="M28" s="49"/>
      <c r="N28" s="49"/>
      <c r="O28" s="49"/>
    </row>
    <row r="29">
      <c r="A29" s="62" t="s">
        <v>388</v>
      </c>
      <c r="B29" s="62" t="s">
        <v>389</v>
      </c>
      <c r="C29" s="49" t="s">
        <v>434</v>
      </c>
      <c r="D29" s="49" t="s">
        <v>412</v>
      </c>
      <c r="E29" s="60" t="s">
        <v>318</v>
      </c>
      <c r="F29" s="60" t="s">
        <v>330</v>
      </c>
      <c r="G29" s="60" t="s">
        <v>423</v>
      </c>
      <c r="H29" s="60"/>
      <c r="I29" s="60"/>
      <c r="J29" s="49"/>
      <c r="K29" s="49"/>
      <c r="L29" s="49"/>
      <c r="M29" s="49"/>
      <c r="N29" s="49"/>
      <c r="O29" s="49"/>
    </row>
    <row r="30">
      <c r="A30" s="62" t="s">
        <v>388</v>
      </c>
      <c r="B30" s="62" t="s">
        <v>398</v>
      </c>
      <c r="C30" s="49" t="s">
        <v>435</v>
      </c>
      <c r="D30" s="49" t="s">
        <v>412</v>
      </c>
      <c r="E30" s="60" t="s">
        <v>436</v>
      </c>
      <c r="F30" s="60" t="s">
        <v>437</v>
      </c>
      <c r="G30" s="60" t="s">
        <v>423</v>
      </c>
      <c r="H30" s="60"/>
      <c r="I30" s="60"/>
      <c r="J30" s="49"/>
      <c r="K30" s="49"/>
      <c r="L30" s="49"/>
      <c r="M30" s="49"/>
      <c r="N30" s="49"/>
      <c r="O30" s="49"/>
    </row>
    <row r="31">
      <c r="A31" s="62" t="s">
        <v>388</v>
      </c>
      <c r="B31" s="62" t="s">
        <v>398</v>
      </c>
      <c r="C31" s="49" t="s">
        <v>438</v>
      </c>
      <c r="D31" s="49" t="s">
        <v>412</v>
      </c>
      <c r="E31" s="60" t="s">
        <v>318</v>
      </c>
      <c r="F31" s="60" t="s">
        <v>330</v>
      </c>
      <c r="G31" s="60" t="s">
        <v>423</v>
      </c>
      <c r="H31" s="60"/>
      <c r="I31" s="60"/>
      <c r="J31" s="49"/>
      <c r="K31" s="49"/>
      <c r="L31" s="49"/>
      <c r="M31" s="49"/>
      <c r="N31" s="49"/>
      <c r="O31" s="49"/>
    </row>
    <row r="32">
      <c r="A32" s="62" t="s">
        <v>388</v>
      </c>
      <c r="B32" s="62" t="s">
        <v>389</v>
      </c>
      <c r="C32" s="49" t="s">
        <v>439</v>
      </c>
      <c r="D32" s="49" t="s">
        <v>412</v>
      </c>
      <c r="E32" s="60" t="s">
        <v>318</v>
      </c>
      <c r="F32" s="60" t="s">
        <v>330</v>
      </c>
      <c r="G32" s="60" t="s">
        <v>423</v>
      </c>
      <c r="H32" s="60"/>
      <c r="I32" s="60"/>
      <c r="J32" s="49"/>
      <c r="K32" s="49"/>
      <c r="L32" s="49"/>
      <c r="M32" s="49"/>
      <c r="N32" s="49"/>
      <c r="O32" s="49"/>
    </row>
    <row r="33">
      <c r="A33" s="62" t="s">
        <v>388</v>
      </c>
      <c r="B33" s="62" t="s">
        <v>398</v>
      </c>
      <c r="C33" s="49" t="s">
        <v>440</v>
      </c>
      <c r="D33" s="49" t="s">
        <v>412</v>
      </c>
      <c r="E33" s="60" t="s">
        <v>318</v>
      </c>
      <c r="F33" s="60" t="s">
        <v>330</v>
      </c>
      <c r="G33" s="60" t="s">
        <v>423</v>
      </c>
      <c r="H33" s="60"/>
      <c r="I33" s="60"/>
      <c r="J33" s="49"/>
      <c r="K33" s="49"/>
      <c r="L33" s="49"/>
      <c r="M33" s="49"/>
      <c r="N33" s="49"/>
      <c r="O33" s="49"/>
    </row>
    <row r="34">
      <c r="A34" s="62" t="s">
        <v>388</v>
      </c>
      <c r="B34" s="62" t="s">
        <v>389</v>
      </c>
      <c r="C34" s="49" t="s">
        <v>441</v>
      </c>
      <c r="D34" s="49" t="s">
        <v>412</v>
      </c>
      <c r="E34" s="60" t="s">
        <v>318</v>
      </c>
      <c r="F34" s="60" t="s">
        <v>330</v>
      </c>
      <c r="G34" s="60" t="s">
        <v>423</v>
      </c>
      <c r="H34" s="60"/>
      <c r="I34" s="60"/>
      <c r="J34" s="49"/>
      <c r="K34" s="49"/>
      <c r="L34" s="49"/>
      <c r="M34" s="49"/>
      <c r="N34" s="49"/>
      <c r="O34" s="49"/>
    </row>
    <row r="35">
      <c r="A35" s="62" t="s">
        <v>388</v>
      </c>
      <c r="B35" s="62" t="s">
        <v>389</v>
      </c>
      <c r="C35" s="49" t="s">
        <v>442</v>
      </c>
      <c r="D35" s="49" t="s">
        <v>412</v>
      </c>
      <c r="E35" s="60" t="s">
        <v>318</v>
      </c>
      <c r="F35" s="60" t="s">
        <v>330</v>
      </c>
      <c r="G35" s="60" t="s">
        <v>423</v>
      </c>
      <c r="H35" s="60"/>
      <c r="I35" s="60"/>
      <c r="J35" s="49"/>
      <c r="K35" s="49"/>
      <c r="L35" s="49"/>
      <c r="M35" s="49"/>
      <c r="N35" s="49"/>
      <c r="O35" s="49"/>
    </row>
    <row r="36">
      <c r="A36" s="62" t="s">
        <v>388</v>
      </c>
      <c r="B36" s="62" t="s">
        <v>389</v>
      </c>
      <c r="C36" s="49" t="s">
        <v>443</v>
      </c>
      <c r="D36" s="49" t="s">
        <v>412</v>
      </c>
      <c r="E36" s="60" t="s">
        <v>318</v>
      </c>
      <c r="F36" s="60" t="s">
        <v>330</v>
      </c>
      <c r="G36" s="60" t="s">
        <v>423</v>
      </c>
      <c r="H36" s="60"/>
      <c r="I36" s="60"/>
      <c r="J36" s="49"/>
      <c r="K36" s="49"/>
      <c r="L36" s="49"/>
      <c r="M36" s="49"/>
      <c r="N36" s="49"/>
      <c r="O36" s="49"/>
    </row>
    <row r="37">
      <c r="A37" s="62" t="s">
        <v>388</v>
      </c>
      <c r="B37" s="62" t="s">
        <v>398</v>
      </c>
      <c r="C37" s="49" t="s">
        <v>444</v>
      </c>
      <c r="D37" s="49" t="s">
        <v>412</v>
      </c>
      <c r="E37" s="60" t="s">
        <v>318</v>
      </c>
      <c r="F37" s="60" t="s">
        <v>330</v>
      </c>
      <c r="G37" s="60" t="s">
        <v>423</v>
      </c>
      <c r="H37" s="60"/>
      <c r="I37" s="60"/>
      <c r="J37" s="49"/>
      <c r="K37" s="49"/>
      <c r="L37" s="49"/>
      <c r="M37" s="49"/>
      <c r="N37" s="49"/>
      <c r="O37" s="49"/>
    </row>
    <row r="38">
      <c r="A38" s="62" t="s">
        <v>388</v>
      </c>
      <c r="B38" s="62" t="s">
        <v>389</v>
      </c>
      <c r="C38" s="49" t="s">
        <v>445</v>
      </c>
      <c r="D38" s="49" t="s">
        <v>412</v>
      </c>
      <c r="E38" s="60" t="s">
        <v>318</v>
      </c>
      <c r="F38" s="60" t="s">
        <v>330</v>
      </c>
      <c r="G38" s="60" t="s">
        <v>423</v>
      </c>
      <c r="H38" s="60"/>
      <c r="I38" s="60"/>
      <c r="J38" s="49"/>
      <c r="K38" s="49"/>
      <c r="L38" s="49"/>
      <c r="M38" s="49"/>
      <c r="N38" s="49"/>
      <c r="O38" s="49"/>
    </row>
    <row r="39">
      <c r="A39" s="62" t="s">
        <v>446</v>
      </c>
      <c r="B39" s="62" t="s">
        <v>398</v>
      </c>
      <c r="C39" s="49" t="s">
        <v>447</v>
      </c>
      <c r="D39" s="49" t="s">
        <v>448</v>
      </c>
      <c r="E39" s="59" t="s">
        <v>449</v>
      </c>
      <c r="F39" s="61" t="s">
        <v>450</v>
      </c>
      <c r="G39" s="59" t="s">
        <v>451</v>
      </c>
      <c r="H39" s="60" t="s">
        <v>452</v>
      </c>
      <c r="I39" s="60"/>
      <c r="J39" s="49"/>
      <c r="K39" s="49"/>
      <c r="L39" s="49"/>
      <c r="M39" s="49"/>
      <c r="N39" s="49"/>
      <c r="O39" s="49"/>
      <c r="P39" s="49"/>
      <c r="Q39" s="49"/>
    </row>
    <row r="40">
      <c r="A40" s="62" t="s">
        <v>446</v>
      </c>
      <c r="B40" s="62" t="s">
        <v>398</v>
      </c>
      <c r="C40" s="49" t="s">
        <v>447</v>
      </c>
      <c r="D40" s="49" t="s">
        <v>453</v>
      </c>
      <c r="E40" s="60" t="s">
        <v>454</v>
      </c>
      <c r="F40" s="60"/>
      <c r="G40" s="60"/>
      <c r="H40" s="60"/>
      <c r="I40" s="60"/>
      <c r="J40" s="49"/>
      <c r="K40" s="49"/>
      <c r="L40" s="49"/>
      <c r="M40" s="49"/>
      <c r="N40" s="49"/>
      <c r="O40" s="49"/>
      <c r="P40" s="49"/>
      <c r="Q40" s="49"/>
    </row>
    <row r="41">
      <c r="A41" s="62" t="s">
        <v>446</v>
      </c>
      <c r="B41" s="62" t="s">
        <v>398</v>
      </c>
      <c r="C41" s="49" t="s">
        <v>455</v>
      </c>
      <c r="D41" s="49" t="s">
        <v>448</v>
      </c>
      <c r="E41" s="59" t="s">
        <v>456</v>
      </c>
      <c r="F41" s="60" t="s">
        <v>457</v>
      </c>
      <c r="G41" s="61" t="s">
        <v>458</v>
      </c>
      <c r="H41" s="60" t="s">
        <v>459</v>
      </c>
      <c r="I41" s="59" t="s">
        <v>460</v>
      </c>
    </row>
    <row r="42">
      <c r="A42" s="62" t="s">
        <v>446</v>
      </c>
      <c r="B42" s="62" t="s">
        <v>398</v>
      </c>
      <c r="C42" s="49" t="s">
        <v>455</v>
      </c>
      <c r="D42" s="49" t="s">
        <v>453</v>
      </c>
      <c r="E42" s="60" t="s">
        <v>461</v>
      </c>
      <c r="F42" s="57"/>
      <c r="G42" s="57"/>
      <c r="H42" s="57"/>
      <c r="I42" s="57"/>
      <c r="J42" s="49"/>
      <c r="K42" s="49"/>
      <c r="N42" s="49"/>
      <c r="O42" s="49"/>
      <c r="P42" s="49"/>
      <c r="Q42" s="49"/>
    </row>
    <row r="43">
      <c r="I43" s="57"/>
    </row>
    <row r="44">
      <c r="I44" s="57"/>
    </row>
    <row r="45">
      <c r="I45" s="57"/>
    </row>
    <row r="46">
      <c r="I46" s="57"/>
    </row>
    <row r="47">
      <c r="I47" s="57"/>
    </row>
    <row r="48">
      <c r="I48" s="57"/>
    </row>
    <row r="49">
      <c r="I49" s="57"/>
    </row>
    <row r="50">
      <c r="I50" s="57"/>
    </row>
    <row r="51">
      <c r="I51" s="57"/>
    </row>
    <row r="52">
      <c r="I52" s="57"/>
    </row>
    <row r="53">
      <c r="I53" s="57"/>
    </row>
    <row r="54">
      <c r="I54" s="57"/>
    </row>
    <row r="55">
      <c r="I55" s="57"/>
    </row>
    <row r="56">
      <c r="I56" s="57"/>
    </row>
    <row r="57">
      <c r="I57" s="57"/>
    </row>
    <row r="58">
      <c r="I58" s="57"/>
    </row>
    <row r="59">
      <c r="I59" s="57"/>
    </row>
    <row r="60">
      <c r="I60" s="57"/>
    </row>
    <row r="61">
      <c r="I61" s="57"/>
    </row>
    <row r="62">
      <c r="I62" s="57"/>
    </row>
    <row r="63">
      <c r="I63" s="57"/>
    </row>
    <row r="64">
      <c r="I64" s="57"/>
    </row>
    <row r="65">
      <c r="I65" s="57"/>
    </row>
    <row r="66">
      <c r="I66" s="57"/>
    </row>
    <row r="67">
      <c r="I67" s="57"/>
    </row>
    <row r="68">
      <c r="I68" s="57"/>
    </row>
    <row r="69">
      <c r="I69" s="57"/>
    </row>
    <row r="70">
      <c r="I70" s="57"/>
    </row>
    <row r="71">
      <c r="I71" s="57"/>
    </row>
    <row r="72">
      <c r="I72" s="57"/>
    </row>
    <row r="73">
      <c r="I73" s="57"/>
    </row>
    <row r="74">
      <c r="I74" s="57"/>
    </row>
    <row r="75">
      <c r="I75" s="57"/>
    </row>
    <row r="76">
      <c r="I76" s="57"/>
    </row>
    <row r="77">
      <c r="I77" s="57"/>
    </row>
    <row r="78">
      <c r="I78" s="57"/>
    </row>
    <row r="79">
      <c r="I79" s="57"/>
    </row>
    <row r="80">
      <c r="I80" s="57"/>
    </row>
    <row r="81">
      <c r="I81" s="57"/>
    </row>
    <row r="82">
      <c r="I82" s="57"/>
    </row>
    <row r="83">
      <c r="I83" s="57"/>
    </row>
    <row r="84">
      <c r="I84" s="57"/>
    </row>
    <row r="85">
      <c r="I85" s="57"/>
    </row>
    <row r="86">
      <c r="I86" s="57"/>
    </row>
    <row r="87">
      <c r="I87" s="57"/>
    </row>
    <row r="88">
      <c r="I88" s="57"/>
    </row>
    <row r="89">
      <c r="I89" s="57"/>
    </row>
    <row r="90">
      <c r="I90" s="57"/>
    </row>
    <row r="91">
      <c r="I91" s="57"/>
    </row>
    <row r="92">
      <c r="I92" s="57"/>
    </row>
    <row r="93">
      <c r="I93" s="57"/>
    </row>
    <row r="94">
      <c r="I94" s="57"/>
    </row>
    <row r="95">
      <c r="I95" s="57"/>
    </row>
    <row r="96">
      <c r="I96" s="57"/>
    </row>
    <row r="97">
      <c r="I97" s="57"/>
    </row>
    <row r="98">
      <c r="I98" s="57"/>
    </row>
    <row r="99">
      <c r="I99" s="57"/>
    </row>
    <row r="100">
      <c r="I100" s="57"/>
    </row>
    <row r="101">
      <c r="I101" s="57"/>
    </row>
    <row r="102">
      <c r="I102" s="57"/>
    </row>
    <row r="103">
      <c r="I103" s="60" t="s">
        <v>462</v>
      </c>
      <c r="J103" s="49"/>
      <c r="K103" s="49"/>
      <c r="L103" s="49"/>
      <c r="M103" s="49"/>
      <c r="N103" s="49"/>
      <c r="O103" s="49"/>
      <c r="P103" s="49"/>
      <c r="Q103" s="49"/>
    </row>
    <row r="104">
      <c r="I104" s="60" t="s">
        <v>462</v>
      </c>
      <c r="J104" s="49"/>
      <c r="K104" s="49"/>
      <c r="L104" s="49"/>
      <c r="M104" s="49"/>
      <c r="N104" s="49"/>
      <c r="O104" s="49"/>
      <c r="P104" s="49"/>
      <c r="Q104" s="49"/>
    </row>
    <row r="105">
      <c r="I105" s="60"/>
      <c r="J105" s="49"/>
      <c r="K105" s="49"/>
      <c r="L105" s="49"/>
      <c r="M105" s="49"/>
      <c r="N105" s="49"/>
      <c r="O105" s="49"/>
      <c r="P105" s="49"/>
      <c r="Q105" s="49"/>
    </row>
    <row r="106">
      <c r="I106" s="57"/>
      <c r="J106" s="49"/>
      <c r="K106" s="49"/>
      <c r="L106" s="49"/>
      <c r="M106" s="49"/>
      <c r="N106" s="49"/>
      <c r="O106" s="49"/>
      <c r="P106" s="49"/>
      <c r="Q106" s="49"/>
    </row>
    <row r="107">
      <c r="I107" s="57"/>
      <c r="J107" s="49"/>
      <c r="K107" s="49"/>
      <c r="L107" s="49"/>
      <c r="M107" s="49"/>
      <c r="N107" s="49"/>
      <c r="O107" s="49"/>
      <c r="P107" s="49"/>
      <c r="Q107" s="49"/>
    </row>
    <row r="108">
      <c r="I108" s="60"/>
      <c r="J108" s="49"/>
      <c r="K108" s="49"/>
      <c r="L108" s="49"/>
      <c r="M108" s="49"/>
      <c r="N108" s="49"/>
      <c r="O108" s="49"/>
      <c r="P108" s="49"/>
      <c r="Q108" s="49"/>
    </row>
    <row r="109">
      <c r="I109" s="60"/>
      <c r="J109" s="49"/>
      <c r="K109" s="49"/>
      <c r="L109" s="49"/>
      <c r="M109" s="49"/>
      <c r="N109" s="49"/>
      <c r="O109" s="49"/>
      <c r="P109" s="49"/>
      <c r="Q109" s="49"/>
    </row>
    <row r="110">
      <c r="I110" s="60"/>
      <c r="J110" s="49"/>
      <c r="K110" s="49"/>
      <c r="L110" s="49"/>
      <c r="M110" s="49"/>
      <c r="N110" s="49"/>
      <c r="O110" s="49"/>
      <c r="P110" s="49"/>
      <c r="Q110" s="49"/>
    </row>
    <row r="111">
      <c r="I111" s="60"/>
      <c r="J111" s="49"/>
      <c r="K111" s="49"/>
      <c r="L111" s="49"/>
      <c r="M111" s="49"/>
      <c r="N111" s="49"/>
      <c r="O111" s="49"/>
      <c r="P111" s="49"/>
      <c r="Q111" s="49"/>
    </row>
    <row r="112">
      <c r="I112" s="60"/>
      <c r="J112" s="49"/>
      <c r="K112" s="49"/>
      <c r="L112" s="49"/>
      <c r="M112" s="49"/>
      <c r="N112" s="49"/>
      <c r="O112" s="49"/>
      <c r="P112" s="49"/>
      <c r="Q112" s="49"/>
    </row>
    <row r="113">
      <c r="I113" s="60"/>
      <c r="J113" s="49"/>
      <c r="K113" s="49"/>
      <c r="L113" s="49"/>
      <c r="M113" s="49"/>
      <c r="N113" s="49"/>
      <c r="O113" s="49"/>
      <c r="P113" s="49"/>
      <c r="Q113" s="49"/>
    </row>
    <row r="114">
      <c r="I114" s="60"/>
      <c r="J114" s="49"/>
      <c r="K114" s="49"/>
      <c r="L114" s="49"/>
      <c r="M114" s="49"/>
      <c r="N114" s="49"/>
      <c r="O114" s="49"/>
      <c r="P114" s="49"/>
      <c r="Q114" s="49"/>
    </row>
    <row r="115">
      <c r="I115" s="60"/>
      <c r="J115" s="49"/>
      <c r="K115" s="49"/>
      <c r="L115" s="49"/>
      <c r="M115" s="49"/>
      <c r="N115" s="49"/>
      <c r="O115" s="49"/>
      <c r="P115" s="49"/>
      <c r="Q115" s="49"/>
    </row>
    <row r="116">
      <c r="I116" s="57"/>
      <c r="Q116" s="49" t="s">
        <v>463</v>
      </c>
    </row>
    <row r="117">
      <c r="I117" s="57"/>
    </row>
    <row r="118">
      <c r="I118" s="57"/>
    </row>
    <row r="119">
      <c r="I119" s="57"/>
    </row>
    <row r="120">
      <c r="I120" s="57"/>
    </row>
    <row r="121">
      <c r="I121" s="57"/>
    </row>
    <row r="122">
      <c r="I122" s="57"/>
    </row>
    <row r="123">
      <c r="I123" s="57"/>
    </row>
    <row r="124">
      <c r="I124" s="57"/>
    </row>
    <row r="125">
      <c r="I125" s="57"/>
    </row>
    <row r="126">
      <c r="I126" s="57"/>
    </row>
    <row r="127">
      <c r="I127" s="57"/>
    </row>
    <row r="128">
      <c r="I128" s="57"/>
    </row>
    <row r="129">
      <c r="I129" s="57"/>
    </row>
    <row r="130">
      <c r="I130" s="57"/>
    </row>
    <row r="131">
      <c r="E131" s="57"/>
      <c r="F131" s="57"/>
      <c r="G131" s="57"/>
      <c r="H131" s="57"/>
      <c r="I131" s="57"/>
    </row>
    <row r="132">
      <c r="E132" s="57"/>
      <c r="F132" s="57"/>
      <c r="G132" s="57"/>
      <c r="H132" s="57"/>
      <c r="I132" s="57"/>
    </row>
    <row r="133">
      <c r="E133" s="57"/>
      <c r="F133" s="57"/>
      <c r="G133" s="57"/>
      <c r="H133" s="57"/>
      <c r="I133" s="57"/>
    </row>
    <row r="134">
      <c r="E134" s="57"/>
      <c r="F134" s="57"/>
      <c r="G134" s="57"/>
      <c r="H134" s="57"/>
      <c r="I134" s="57"/>
    </row>
    <row r="135">
      <c r="E135" s="57"/>
      <c r="F135" s="57"/>
      <c r="G135" s="57"/>
      <c r="H135" s="57"/>
      <c r="I135" s="57"/>
    </row>
    <row r="136">
      <c r="E136" s="57"/>
      <c r="F136" s="57"/>
      <c r="G136" s="57"/>
      <c r="H136" s="57"/>
      <c r="I136" s="57"/>
    </row>
    <row r="137">
      <c r="E137" s="57"/>
      <c r="F137" s="57"/>
      <c r="G137" s="57"/>
      <c r="H137" s="57"/>
      <c r="I137" s="57"/>
    </row>
    <row r="138">
      <c r="E138" s="57"/>
      <c r="F138" s="57"/>
      <c r="G138" s="57"/>
      <c r="H138" s="57"/>
      <c r="I138" s="57"/>
    </row>
    <row r="139">
      <c r="E139" s="57"/>
      <c r="F139" s="57"/>
      <c r="G139" s="57"/>
      <c r="H139" s="57"/>
      <c r="I139" s="57"/>
    </row>
    <row r="140">
      <c r="E140" s="57"/>
      <c r="F140" s="57"/>
      <c r="G140" s="57"/>
      <c r="H140" s="57"/>
      <c r="I140" s="57"/>
    </row>
    <row r="141">
      <c r="E141" s="57"/>
      <c r="F141" s="57"/>
      <c r="G141" s="57"/>
      <c r="H141" s="57"/>
      <c r="I141" s="57"/>
    </row>
    <row r="142">
      <c r="E142" s="57"/>
      <c r="F142" s="57"/>
      <c r="G142" s="57"/>
      <c r="H142" s="57"/>
      <c r="I142" s="57"/>
    </row>
    <row r="143">
      <c r="E143" s="57"/>
      <c r="F143" s="57"/>
      <c r="G143" s="57"/>
      <c r="H143" s="57"/>
      <c r="I143" s="57"/>
    </row>
    <row r="144">
      <c r="E144" s="57"/>
      <c r="F144" s="57"/>
      <c r="G144" s="57"/>
      <c r="H144" s="57"/>
      <c r="I144" s="57"/>
    </row>
    <row r="145">
      <c r="E145" s="57"/>
      <c r="F145" s="57"/>
      <c r="G145" s="57"/>
      <c r="H145" s="57"/>
      <c r="I145" s="57"/>
    </row>
    <row r="146">
      <c r="E146" s="57"/>
      <c r="F146" s="57"/>
      <c r="G146" s="57"/>
      <c r="H146" s="57"/>
      <c r="I146" s="57"/>
    </row>
    <row r="147">
      <c r="E147" s="57"/>
      <c r="F147" s="57"/>
      <c r="G147" s="57"/>
      <c r="H147" s="57"/>
      <c r="I147" s="57"/>
    </row>
    <row r="148">
      <c r="E148" s="57"/>
      <c r="F148" s="57"/>
      <c r="G148" s="57"/>
      <c r="H148" s="57"/>
      <c r="I148" s="57"/>
    </row>
    <row r="149">
      <c r="E149" s="57"/>
      <c r="F149" s="57"/>
      <c r="G149" s="57"/>
      <c r="H149" s="57"/>
      <c r="I149" s="57"/>
    </row>
    <row r="150">
      <c r="E150" s="57"/>
      <c r="F150" s="57"/>
      <c r="G150" s="57"/>
      <c r="H150" s="57"/>
      <c r="I150" s="57"/>
    </row>
    <row r="151">
      <c r="E151" s="57"/>
      <c r="F151" s="57"/>
      <c r="G151" s="57"/>
      <c r="H151" s="57"/>
      <c r="I151" s="57"/>
    </row>
    <row r="152">
      <c r="E152" s="57"/>
      <c r="F152" s="57"/>
      <c r="G152" s="57"/>
      <c r="H152" s="57"/>
      <c r="I152" s="57"/>
    </row>
    <row r="153">
      <c r="E153" s="57"/>
      <c r="F153" s="57"/>
      <c r="G153" s="57"/>
      <c r="H153" s="57"/>
      <c r="I153" s="57"/>
    </row>
    <row r="154">
      <c r="E154" s="57"/>
      <c r="F154" s="57"/>
      <c r="G154" s="57"/>
      <c r="H154" s="57"/>
      <c r="I154" s="57"/>
    </row>
    <row r="155">
      <c r="E155" s="57"/>
      <c r="F155" s="57"/>
      <c r="G155" s="57"/>
      <c r="H155" s="57"/>
      <c r="I155" s="57"/>
    </row>
    <row r="156">
      <c r="E156" s="57"/>
      <c r="F156" s="57"/>
      <c r="G156" s="57"/>
      <c r="H156" s="57"/>
      <c r="I156" s="57"/>
    </row>
    <row r="157">
      <c r="E157" s="57"/>
      <c r="F157" s="57"/>
      <c r="G157" s="57"/>
      <c r="H157" s="57"/>
      <c r="I157" s="57"/>
    </row>
    <row r="158">
      <c r="E158" s="57"/>
      <c r="F158" s="57"/>
      <c r="G158" s="57"/>
      <c r="H158" s="57"/>
      <c r="I158" s="57"/>
    </row>
    <row r="159">
      <c r="E159" s="57"/>
      <c r="F159" s="57"/>
      <c r="G159" s="57"/>
      <c r="H159" s="57"/>
      <c r="I159" s="57"/>
    </row>
    <row r="160">
      <c r="E160" s="57"/>
      <c r="F160" s="57"/>
      <c r="G160" s="57"/>
      <c r="H160" s="57"/>
      <c r="I160" s="57"/>
    </row>
    <row r="161">
      <c r="E161" s="57"/>
      <c r="F161" s="57"/>
      <c r="G161" s="57"/>
      <c r="H161" s="57"/>
      <c r="I161" s="57"/>
    </row>
    <row r="162">
      <c r="E162" s="57"/>
      <c r="F162" s="57"/>
      <c r="G162" s="57"/>
      <c r="H162" s="57"/>
      <c r="I162" s="57"/>
    </row>
    <row r="163">
      <c r="E163" s="57"/>
      <c r="F163" s="57"/>
      <c r="G163" s="57"/>
      <c r="H163" s="57"/>
      <c r="I163" s="57"/>
    </row>
    <row r="164">
      <c r="E164" s="57"/>
      <c r="F164" s="57"/>
      <c r="G164" s="57"/>
      <c r="H164" s="57"/>
      <c r="I164" s="57"/>
    </row>
    <row r="165">
      <c r="E165" s="57"/>
      <c r="F165" s="57"/>
      <c r="G165" s="57"/>
      <c r="H165" s="57"/>
      <c r="I165" s="57"/>
    </row>
    <row r="166">
      <c r="E166" s="57"/>
      <c r="F166" s="57"/>
      <c r="G166" s="57"/>
      <c r="H166" s="57"/>
      <c r="I166" s="57"/>
    </row>
    <row r="167">
      <c r="E167" s="57"/>
      <c r="F167" s="57"/>
      <c r="G167" s="57"/>
      <c r="H167" s="57"/>
      <c r="I167" s="57"/>
    </row>
    <row r="168">
      <c r="E168" s="57"/>
      <c r="F168" s="57"/>
      <c r="G168" s="57"/>
      <c r="H168" s="57"/>
      <c r="I168" s="57"/>
    </row>
    <row r="169">
      <c r="E169" s="57"/>
      <c r="F169" s="57"/>
      <c r="G169" s="57"/>
      <c r="H169" s="57"/>
      <c r="I169" s="57"/>
    </row>
    <row r="170">
      <c r="E170" s="57"/>
      <c r="F170" s="57"/>
      <c r="G170" s="57"/>
      <c r="H170" s="57"/>
      <c r="I170" s="57"/>
    </row>
    <row r="171">
      <c r="E171" s="57"/>
      <c r="F171" s="57"/>
      <c r="G171" s="57"/>
      <c r="H171" s="57"/>
      <c r="I171" s="57"/>
    </row>
    <row r="172">
      <c r="E172" s="57"/>
      <c r="F172" s="57"/>
      <c r="G172" s="57"/>
      <c r="H172" s="57"/>
      <c r="I172" s="57"/>
    </row>
    <row r="173">
      <c r="E173" s="57"/>
      <c r="F173" s="57"/>
      <c r="G173" s="57"/>
      <c r="H173" s="57"/>
      <c r="I173" s="57"/>
    </row>
    <row r="174">
      <c r="E174" s="57"/>
      <c r="F174" s="57"/>
      <c r="G174" s="57"/>
      <c r="H174" s="57"/>
      <c r="I174" s="57"/>
    </row>
    <row r="175">
      <c r="E175" s="57"/>
      <c r="F175" s="57"/>
      <c r="G175" s="57"/>
      <c r="H175" s="57"/>
      <c r="I175" s="57"/>
    </row>
    <row r="176">
      <c r="E176" s="57"/>
      <c r="F176" s="57"/>
      <c r="G176" s="57"/>
      <c r="H176" s="57"/>
      <c r="I176" s="57"/>
    </row>
    <row r="177">
      <c r="E177" s="57"/>
      <c r="F177" s="57"/>
      <c r="G177" s="57"/>
      <c r="H177" s="57"/>
      <c r="I177" s="57"/>
    </row>
    <row r="178">
      <c r="E178" s="57"/>
      <c r="F178" s="57"/>
      <c r="G178" s="57"/>
      <c r="H178" s="57"/>
      <c r="I178" s="57"/>
    </row>
    <row r="179">
      <c r="E179" s="57"/>
      <c r="F179" s="57"/>
      <c r="G179" s="57"/>
      <c r="H179" s="57"/>
      <c r="I179" s="57"/>
    </row>
    <row r="180">
      <c r="E180" s="57"/>
      <c r="F180" s="57"/>
      <c r="G180" s="57"/>
      <c r="H180" s="57"/>
      <c r="I180" s="57"/>
    </row>
    <row r="181">
      <c r="E181" s="57"/>
      <c r="F181" s="57"/>
      <c r="G181" s="57"/>
      <c r="H181" s="57"/>
      <c r="I181" s="57"/>
    </row>
    <row r="182">
      <c r="E182" s="57"/>
      <c r="F182" s="57"/>
      <c r="G182" s="57"/>
      <c r="H182" s="57"/>
      <c r="I182" s="57"/>
    </row>
    <row r="183">
      <c r="E183" s="57"/>
      <c r="F183" s="57"/>
      <c r="G183" s="57"/>
      <c r="H183" s="57"/>
      <c r="I183" s="57"/>
    </row>
    <row r="184">
      <c r="E184" s="57"/>
      <c r="F184" s="57"/>
      <c r="G184" s="57"/>
      <c r="H184" s="57"/>
      <c r="I184" s="57"/>
    </row>
    <row r="185">
      <c r="E185" s="57"/>
      <c r="F185" s="57"/>
      <c r="G185" s="57"/>
      <c r="H185" s="57"/>
      <c r="I185" s="57"/>
    </row>
    <row r="186">
      <c r="E186" s="57"/>
      <c r="F186" s="57"/>
      <c r="G186" s="57"/>
      <c r="H186" s="57"/>
      <c r="I186" s="57"/>
    </row>
    <row r="187">
      <c r="E187" s="57"/>
      <c r="F187" s="57"/>
      <c r="G187" s="57"/>
      <c r="H187" s="57"/>
      <c r="I187" s="57"/>
    </row>
    <row r="188">
      <c r="E188" s="57"/>
      <c r="F188" s="57"/>
      <c r="G188" s="57"/>
      <c r="H188" s="57"/>
      <c r="I188" s="57"/>
    </row>
    <row r="189">
      <c r="E189" s="57"/>
      <c r="F189" s="57"/>
      <c r="G189" s="57"/>
      <c r="H189" s="57"/>
      <c r="I189" s="57"/>
    </row>
    <row r="190">
      <c r="E190" s="57"/>
      <c r="F190" s="57"/>
      <c r="G190" s="57"/>
      <c r="H190" s="57"/>
      <c r="I190" s="57"/>
    </row>
    <row r="191">
      <c r="E191" s="57"/>
      <c r="F191" s="57"/>
      <c r="G191" s="57"/>
      <c r="H191" s="57"/>
      <c r="I191" s="57"/>
    </row>
    <row r="192">
      <c r="E192" s="57"/>
      <c r="F192" s="57"/>
      <c r="G192" s="57"/>
      <c r="H192" s="57"/>
      <c r="I192" s="57"/>
    </row>
    <row r="193">
      <c r="E193" s="57"/>
      <c r="F193" s="57"/>
      <c r="G193" s="57"/>
      <c r="H193" s="57"/>
      <c r="I193" s="57"/>
    </row>
    <row r="194">
      <c r="E194" s="57"/>
      <c r="F194" s="57"/>
      <c r="G194" s="57"/>
      <c r="H194" s="57"/>
      <c r="I194" s="57"/>
    </row>
    <row r="195">
      <c r="E195" s="57"/>
      <c r="F195" s="57"/>
      <c r="G195" s="57"/>
      <c r="H195" s="57"/>
      <c r="I195" s="57"/>
    </row>
    <row r="196">
      <c r="E196" s="57"/>
      <c r="F196" s="57"/>
      <c r="G196" s="57"/>
      <c r="H196" s="57"/>
      <c r="I196" s="57"/>
    </row>
    <row r="197">
      <c r="E197" s="57"/>
      <c r="F197" s="57"/>
      <c r="G197" s="57"/>
      <c r="H197" s="57"/>
      <c r="I197" s="57"/>
    </row>
    <row r="198">
      <c r="E198" s="57"/>
      <c r="F198" s="57"/>
      <c r="G198" s="57"/>
      <c r="H198" s="57"/>
      <c r="I198" s="57"/>
    </row>
    <row r="199">
      <c r="E199" s="57"/>
      <c r="F199" s="57"/>
      <c r="G199" s="57"/>
      <c r="H199" s="57"/>
      <c r="I199" s="57"/>
    </row>
    <row r="200">
      <c r="E200" s="57"/>
      <c r="F200" s="57"/>
      <c r="G200" s="57"/>
      <c r="H200" s="57"/>
      <c r="I200" s="57"/>
    </row>
    <row r="201">
      <c r="E201" s="57"/>
      <c r="F201" s="57"/>
      <c r="G201" s="57"/>
      <c r="H201" s="57"/>
      <c r="I201" s="57"/>
    </row>
    <row r="202">
      <c r="E202" s="57"/>
      <c r="F202" s="57"/>
      <c r="G202" s="57"/>
      <c r="H202" s="57"/>
      <c r="I202" s="57"/>
    </row>
    <row r="203">
      <c r="E203" s="57"/>
      <c r="F203" s="57"/>
      <c r="G203" s="57"/>
      <c r="H203" s="57"/>
      <c r="I203" s="57"/>
    </row>
    <row r="204">
      <c r="E204" s="57"/>
      <c r="F204" s="57"/>
      <c r="G204" s="57"/>
      <c r="H204" s="57"/>
      <c r="I204" s="57"/>
    </row>
    <row r="205">
      <c r="E205" s="57"/>
      <c r="F205" s="57"/>
      <c r="G205" s="57"/>
      <c r="H205" s="57"/>
      <c r="I205" s="57"/>
    </row>
    <row r="206">
      <c r="E206" s="57"/>
      <c r="F206" s="57"/>
      <c r="G206" s="57"/>
      <c r="H206" s="57"/>
      <c r="I206" s="57"/>
    </row>
    <row r="207">
      <c r="E207" s="57"/>
      <c r="F207" s="57"/>
      <c r="G207" s="57"/>
      <c r="H207" s="57"/>
      <c r="I207" s="57"/>
    </row>
    <row r="208">
      <c r="E208" s="57"/>
      <c r="F208" s="57"/>
      <c r="G208" s="57"/>
      <c r="H208" s="57"/>
      <c r="I208" s="57"/>
    </row>
    <row r="209">
      <c r="E209" s="57"/>
      <c r="F209" s="57"/>
      <c r="G209" s="57"/>
      <c r="H209" s="57"/>
      <c r="I209" s="57"/>
    </row>
    <row r="210">
      <c r="E210" s="57"/>
      <c r="F210" s="57"/>
      <c r="G210" s="57"/>
      <c r="H210" s="57"/>
      <c r="I210" s="57"/>
    </row>
    <row r="211">
      <c r="E211" s="57"/>
      <c r="F211" s="57"/>
      <c r="G211" s="57"/>
      <c r="H211" s="57"/>
      <c r="I211" s="57"/>
    </row>
    <row r="212">
      <c r="E212" s="57"/>
      <c r="F212" s="57"/>
      <c r="G212" s="57"/>
      <c r="H212" s="57"/>
      <c r="I212" s="57"/>
    </row>
    <row r="213">
      <c r="E213" s="57"/>
      <c r="F213" s="57"/>
      <c r="G213" s="57"/>
      <c r="H213" s="57"/>
      <c r="I213" s="57"/>
    </row>
    <row r="214">
      <c r="E214" s="57"/>
      <c r="F214" s="57"/>
      <c r="G214" s="57"/>
      <c r="H214" s="57"/>
      <c r="I214" s="57"/>
    </row>
    <row r="215">
      <c r="E215" s="57"/>
      <c r="F215" s="57"/>
      <c r="G215" s="57"/>
      <c r="H215" s="57"/>
      <c r="I215" s="57"/>
    </row>
    <row r="216">
      <c r="E216" s="57"/>
      <c r="F216" s="57"/>
      <c r="G216" s="57"/>
      <c r="H216" s="57"/>
      <c r="I216" s="57"/>
    </row>
    <row r="217">
      <c r="E217" s="57"/>
      <c r="F217" s="57"/>
      <c r="G217" s="57"/>
      <c r="H217" s="57"/>
      <c r="I217" s="57"/>
    </row>
    <row r="218">
      <c r="E218" s="57"/>
      <c r="F218" s="57"/>
      <c r="G218" s="57"/>
      <c r="H218" s="57"/>
      <c r="I218" s="57"/>
    </row>
    <row r="219">
      <c r="E219" s="57"/>
      <c r="F219" s="57"/>
      <c r="G219" s="57"/>
      <c r="H219" s="57"/>
      <c r="I219" s="57"/>
    </row>
    <row r="220">
      <c r="E220" s="57"/>
      <c r="F220" s="57"/>
      <c r="G220" s="57"/>
      <c r="H220" s="57"/>
      <c r="I220" s="57"/>
    </row>
    <row r="221">
      <c r="E221" s="57"/>
      <c r="F221" s="57"/>
      <c r="G221" s="57"/>
      <c r="H221" s="57"/>
      <c r="I221" s="57"/>
    </row>
    <row r="222">
      <c r="E222" s="57"/>
      <c r="F222" s="57"/>
      <c r="G222" s="57"/>
      <c r="H222" s="57"/>
      <c r="I222" s="57"/>
    </row>
    <row r="223">
      <c r="E223" s="57"/>
      <c r="F223" s="57"/>
      <c r="G223" s="57"/>
      <c r="H223" s="57"/>
      <c r="I223" s="57"/>
    </row>
    <row r="224">
      <c r="E224" s="57"/>
      <c r="F224" s="57"/>
      <c r="G224" s="57"/>
      <c r="H224" s="57"/>
      <c r="I224" s="57"/>
    </row>
    <row r="225">
      <c r="E225" s="57"/>
      <c r="F225" s="57"/>
      <c r="G225" s="57"/>
      <c r="H225" s="57"/>
      <c r="I225" s="57"/>
    </row>
    <row r="226">
      <c r="E226" s="57"/>
      <c r="F226" s="57"/>
      <c r="G226" s="57"/>
      <c r="H226" s="57"/>
      <c r="I226" s="57"/>
    </row>
    <row r="227">
      <c r="E227" s="57"/>
      <c r="F227" s="57"/>
      <c r="G227" s="57"/>
      <c r="H227" s="57"/>
      <c r="I227" s="57"/>
    </row>
    <row r="228">
      <c r="E228" s="57"/>
      <c r="F228" s="57"/>
      <c r="G228" s="57"/>
      <c r="H228" s="57"/>
      <c r="I228" s="57"/>
    </row>
    <row r="229">
      <c r="E229" s="57"/>
      <c r="F229" s="57"/>
      <c r="G229" s="57"/>
      <c r="H229" s="57"/>
      <c r="I229" s="57"/>
    </row>
    <row r="230">
      <c r="E230" s="57"/>
      <c r="F230" s="57"/>
      <c r="G230" s="57"/>
      <c r="H230" s="57"/>
      <c r="I230" s="57"/>
    </row>
    <row r="231">
      <c r="E231" s="57"/>
      <c r="F231" s="57"/>
      <c r="G231" s="57"/>
      <c r="H231" s="57"/>
      <c r="I231" s="57"/>
    </row>
    <row r="232">
      <c r="E232" s="57"/>
      <c r="F232" s="57"/>
      <c r="G232" s="57"/>
      <c r="H232" s="57"/>
      <c r="I232" s="57"/>
    </row>
    <row r="233">
      <c r="E233" s="57"/>
      <c r="F233" s="57"/>
      <c r="G233" s="57"/>
      <c r="H233" s="57"/>
      <c r="I233" s="57"/>
    </row>
    <row r="234">
      <c r="E234" s="57"/>
      <c r="F234" s="57"/>
      <c r="G234" s="57"/>
      <c r="H234" s="57"/>
      <c r="I234" s="57"/>
    </row>
    <row r="235">
      <c r="E235" s="57"/>
      <c r="F235" s="57"/>
      <c r="G235" s="57"/>
      <c r="H235" s="57"/>
      <c r="I235" s="57"/>
    </row>
    <row r="236">
      <c r="E236" s="57"/>
      <c r="F236" s="57"/>
      <c r="G236" s="57"/>
      <c r="H236" s="57"/>
      <c r="I236" s="57"/>
    </row>
    <row r="237">
      <c r="E237" s="57"/>
      <c r="F237" s="57"/>
      <c r="G237" s="57"/>
      <c r="H237" s="57"/>
      <c r="I237" s="57"/>
    </row>
    <row r="238">
      <c r="E238" s="57"/>
      <c r="F238" s="57"/>
      <c r="G238" s="57"/>
      <c r="H238" s="57"/>
      <c r="I238" s="57"/>
    </row>
    <row r="239">
      <c r="E239" s="57"/>
      <c r="F239" s="57"/>
      <c r="G239" s="57"/>
      <c r="H239" s="57"/>
      <c r="I239" s="57"/>
    </row>
    <row r="240">
      <c r="E240" s="57"/>
      <c r="F240" s="57"/>
      <c r="G240" s="57"/>
      <c r="H240" s="57"/>
      <c r="I240" s="57"/>
    </row>
    <row r="241">
      <c r="E241" s="57"/>
      <c r="F241" s="57"/>
      <c r="G241" s="57"/>
      <c r="H241" s="57"/>
      <c r="I241" s="57"/>
    </row>
    <row r="242">
      <c r="E242" s="57"/>
      <c r="F242" s="57"/>
      <c r="G242" s="57"/>
      <c r="H242" s="57"/>
      <c r="I242" s="57"/>
    </row>
    <row r="243">
      <c r="E243" s="57"/>
      <c r="F243" s="57"/>
      <c r="G243" s="57"/>
      <c r="H243" s="57"/>
      <c r="I243" s="57"/>
    </row>
    <row r="244">
      <c r="E244" s="57"/>
      <c r="F244" s="57"/>
      <c r="G244" s="57"/>
      <c r="H244" s="57"/>
      <c r="I244" s="57"/>
    </row>
    <row r="245">
      <c r="E245" s="57"/>
      <c r="F245" s="57"/>
      <c r="G245" s="57"/>
      <c r="H245" s="57"/>
      <c r="I245" s="57"/>
    </row>
    <row r="246">
      <c r="E246" s="57"/>
      <c r="F246" s="57"/>
      <c r="G246" s="57"/>
      <c r="H246" s="57"/>
      <c r="I246" s="57"/>
    </row>
    <row r="247">
      <c r="E247" s="57"/>
      <c r="F247" s="57"/>
      <c r="G247" s="57"/>
      <c r="H247" s="57"/>
      <c r="I247" s="57"/>
    </row>
    <row r="248">
      <c r="E248" s="57"/>
      <c r="F248" s="57"/>
      <c r="G248" s="57"/>
      <c r="H248" s="57"/>
      <c r="I248" s="57"/>
    </row>
    <row r="249">
      <c r="E249" s="57"/>
      <c r="F249" s="57"/>
      <c r="G249" s="57"/>
      <c r="H249" s="57"/>
      <c r="I249" s="57"/>
    </row>
    <row r="250">
      <c r="E250" s="57"/>
      <c r="F250" s="57"/>
      <c r="G250" s="57"/>
      <c r="H250" s="57"/>
      <c r="I250" s="57"/>
    </row>
    <row r="251">
      <c r="E251" s="57"/>
      <c r="F251" s="57"/>
      <c r="G251" s="57"/>
      <c r="H251" s="57"/>
      <c r="I251" s="57"/>
    </row>
    <row r="252">
      <c r="E252" s="57"/>
      <c r="F252" s="57"/>
      <c r="G252" s="57"/>
      <c r="H252" s="57"/>
      <c r="I252" s="57"/>
    </row>
    <row r="253">
      <c r="E253" s="57"/>
      <c r="F253" s="57"/>
      <c r="G253" s="57"/>
      <c r="H253" s="57"/>
      <c r="I253" s="57"/>
    </row>
    <row r="254">
      <c r="E254" s="57"/>
      <c r="F254" s="57"/>
      <c r="G254" s="57"/>
      <c r="H254" s="57"/>
      <c r="I254" s="57"/>
    </row>
    <row r="255">
      <c r="E255" s="57"/>
      <c r="F255" s="57"/>
      <c r="G255" s="57"/>
      <c r="H255" s="57"/>
      <c r="I255" s="57"/>
    </row>
    <row r="256">
      <c r="E256" s="57"/>
      <c r="F256" s="57"/>
      <c r="G256" s="57"/>
      <c r="H256" s="57"/>
      <c r="I256" s="57"/>
    </row>
    <row r="257">
      <c r="E257" s="57"/>
      <c r="F257" s="57"/>
      <c r="G257" s="57"/>
      <c r="H257" s="57"/>
      <c r="I257" s="57"/>
    </row>
    <row r="258">
      <c r="E258" s="57"/>
      <c r="F258" s="57"/>
      <c r="G258" s="57"/>
      <c r="H258" s="57"/>
      <c r="I258" s="57"/>
    </row>
    <row r="259">
      <c r="E259" s="57"/>
      <c r="F259" s="57"/>
      <c r="G259" s="57"/>
      <c r="H259" s="57"/>
      <c r="I259" s="57"/>
    </row>
    <row r="260">
      <c r="E260" s="57"/>
      <c r="F260" s="57"/>
      <c r="G260" s="57"/>
      <c r="H260" s="57"/>
      <c r="I260" s="57"/>
    </row>
    <row r="261">
      <c r="E261" s="57"/>
      <c r="F261" s="57"/>
      <c r="G261" s="57"/>
      <c r="H261" s="57"/>
      <c r="I261" s="57"/>
    </row>
    <row r="262">
      <c r="E262" s="57"/>
      <c r="F262" s="57"/>
      <c r="G262" s="57"/>
      <c r="H262" s="57"/>
      <c r="I262" s="57"/>
    </row>
    <row r="263">
      <c r="E263" s="57"/>
      <c r="F263" s="57"/>
      <c r="G263" s="57"/>
      <c r="H263" s="57"/>
      <c r="I263" s="57"/>
    </row>
    <row r="264">
      <c r="E264" s="57"/>
      <c r="F264" s="57"/>
      <c r="G264" s="57"/>
      <c r="H264" s="57"/>
      <c r="I264" s="57"/>
    </row>
    <row r="265">
      <c r="E265" s="57"/>
      <c r="F265" s="57"/>
      <c r="G265" s="57"/>
      <c r="H265" s="57"/>
      <c r="I265" s="57"/>
    </row>
    <row r="266">
      <c r="E266" s="57"/>
      <c r="F266" s="57"/>
      <c r="G266" s="57"/>
      <c r="H266" s="57"/>
      <c r="I266" s="57"/>
    </row>
    <row r="267">
      <c r="E267" s="57"/>
      <c r="F267" s="57"/>
      <c r="G267" s="57"/>
      <c r="H267" s="57"/>
      <c r="I267" s="57"/>
    </row>
    <row r="268">
      <c r="E268" s="57"/>
      <c r="F268" s="57"/>
      <c r="G268" s="57"/>
      <c r="H268" s="57"/>
      <c r="I268" s="57"/>
    </row>
    <row r="269">
      <c r="E269" s="57"/>
      <c r="F269" s="57"/>
      <c r="G269" s="57"/>
      <c r="H269" s="57"/>
      <c r="I269" s="57"/>
    </row>
    <row r="270">
      <c r="E270" s="57"/>
      <c r="F270" s="57"/>
      <c r="G270" s="57"/>
      <c r="H270" s="57"/>
      <c r="I270" s="57"/>
    </row>
    <row r="271">
      <c r="E271" s="57"/>
      <c r="F271" s="57"/>
      <c r="G271" s="57"/>
      <c r="H271" s="57"/>
      <c r="I271" s="57"/>
    </row>
    <row r="272">
      <c r="E272" s="57"/>
      <c r="F272" s="57"/>
      <c r="G272" s="57"/>
      <c r="H272" s="57"/>
      <c r="I272" s="57"/>
    </row>
    <row r="273">
      <c r="E273" s="57"/>
      <c r="F273" s="57"/>
      <c r="G273" s="57"/>
      <c r="H273" s="57"/>
      <c r="I273" s="57"/>
    </row>
    <row r="274">
      <c r="E274" s="57"/>
      <c r="F274" s="57"/>
      <c r="G274" s="57"/>
      <c r="H274" s="57"/>
      <c r="I274" s="57"/>
    </row>
    <row r="275">
      <c r="E275" s="57"/>
      <c r="F275" s="57"/>
      <c r="G275" s="57"/>
      <c r="H275" s="57"/>
      <c r="I275" s="57"/>
    </row>
    <row r="276">
      <c r="E276" s="57"/>
      <c r="F276" s="57"/>
      <c r="G276" s="57"/>
      <c r="H276" s="57"/>
      <c r="I276" s="57"/>
    </row>
    <row r="277">
      <c r="E277" s="57"/>
      <c r="F277" s="57"/>
      <c r="G277" s="57"/>
      <c r="H277" s="57"/>
      <c r="I277" s="57"/>
    </row>
    <row r="278">
      <c r="E278" s="57"/>
      <c r="F278" s="57"/>
      <c r="G278" s="57"/>
      <c r="H278" s="57"/>
      <c r="I278" s="57"/>
    </row>
    <row r="279">
      <c r="E279" s="57"/>
      <c r="F279" s="57"/>
      <c r="G279" s="57"/>
      <c r="H279" s="57"/>
      <c r="I279" s="57"/>
    </row>
    <row r="280">
      <c r="E280" s="57"/>
      <c r="F280" s="57"/>
      <c r="G280" s="57"/>
      <c r="H280" s="57"/>
      <c r="I280" s="57"/>
    </row>
    <row r="281">
      <c r="E281" s="57"/>
      <c r="F281" s="57"/>
      <c r="G281" s="57"/>
      <c r="H281" s="57"/>
      <c r="I281" s="57"/>
    </row>
    <row r="282">
      <c r="E282" s="57"/>
      <c r="F282" s="57"/>
      <c r="G282" s="57"/>
      <c r="H282" s="57"/>
      <c r="I282" s="57"/>
    </row>
    <row r="283">
      <c r="E283" s="57"/>
      <c r="F283" s="57"/>
      <c r="G283" s="57"/>
      <c r="H283" s="57"/>
      <c r="I283" s="57"/>
    </row>
    <row r="284">
      <c r="E284" s="57"/>
      <c r="F284" s="57"/>
      <c r="G284" s="57"/>
      <c r="H284" s="57"/>
      <c r="I284" s="57"/>
    </row>
    <row r="285">
      <c r="E285" s="57"/>
      <c r="F285" s="57"/>
      <c r="G285" s="57"/>
      <c r="H285" s="57"/>
      <c r="I285" s="57"/>
    </row>
    <row r="286">
      <c r="E286" s="57"/>
      <c r="F286" s="57"/>
      <c r="G286" s="57"/>
      <c r="H286" s="57"/>
      <c r="I286" s="57"/>
    </row>
    <row r="287">
      <c r="E287" s="57"/>
      <c r="F287" s="57"/>
      <c r="G287" s="57"/>
      <c r="H287" s="57"/>
      <c r="I287" s="57"/>
    </row>
    <row r="288">
      <c r="E288" s="57"/>
      <c r="F288" s="57"/>
      <c r="G288" s="57"/>
      <c r="H288" s="57"/>
      <c r="I288" s="57"/>
    </row>
    <row r="289">
      <c r="E289" s="57"/>
      <c r="F289" s="57"/>
      <c r="G289" s="57"/>
      <c r="H289" s="57"/>
      <c r="I289" s="57"/>
    </row>
    <row r="290">
      <c r="E290" s="57"/>
      <c r="F290" s="57"/>
      <c r="G290" s="57"/>
      <c r="H290" s="57"/>
      <c r="I290" s="57"/>
    </row>
    <row r="291">
      <c r="E291" s="57"/>
      <c r="F291" s="57"/>
      <c r="G291" s="57"/>
      <c r="H291" s="57"/>
      <c r="I291" s="57"/>
    </row>
    <row r="292">
      <c r="E292" s="57"/>
      <c r="F292" s="57"/>
      <c r="G292" s="57"/>
      <c r="H292" s="57"/>
      <c r="I292" s="57"/>
    </row>
    <row r="293">
      <c r="E293" s="57"/>
      <c r="F293" s="57"/>
      <c r="G293" s="57"/>
      <c r="H293" s="57"/>
      <c r="I293" s="57"/>
    </row>
    <row r="294">
      <c r="E294" s="57"/>
      <c r="F294" s="57"/>
      <c r="G294" s="57"/>
      <c r="H294" s="57"/>
      <c r="I294" s="57"/>
    </row>
    <row r="295">
      <c r="E295" s="57"/>
      <c r="F295" s="57"/>
      <c r="G295" s="57"/>
      <c r="H295" s="57"/>
      <c r="I295" s="57"/>
    </row>
    <row r="296">
      <c r="E296" s="57"/>
      <c r="F296" s="57"/>
      <c r="G296" s="57"/>
      <c r="H296" s="57"/>
      <c r="I296" s="57"/>
    </row>
    <row r="297">
      <c r="E297" s="57"/>
      <c r="F297" s="57"/>
      <c r="G297" s="57"/>
      <c r="H297" s="57"/>
      <c r="I297" s="57"/>
    </row>
    <row r="298">
      <c r="E298" s="57"/>
      <c r="F298" s="57"/>
      <c r="G298" s="57"/>
      <c r="H298" s="57"/>
      <c r="I298" s="57"/>
    </row>
    <row r="299">
      <c r="E299" s="57"/>
      <c r="F299" s="57"/>
      <c r="G299" s="57"/>
      <c r="H299" s="57"/>
      <c r="I299" s="57"/>
    </row>
    <row r="300">
      <c r="E300" s="57"/>
      <c r="F300" s="57"/>
      <c r="G300" s="57"/>
      <c r="H300" s="57"/>
      <c r="I300" s="57"/>
    </row>
    <row r="301">
      <c r="E301" s="57"/>
      <c r="F301" s="57"/>
      <c r="G301" s="57"/>
      <c r="H301" s="57"/>
      <c r="I301" s="57"/>
    </row>
    <row r="302">
      <c r="E302" s="57"/>
      <c r="F302" s="57"/>
      <c r="G302" s="57"/>
      <c r="H302" s="57"/>
      <c r="I302" s="57"/>
    </row>
    <row r="303">
      <c r="E303" s="57"/>
      <c r="F303" s="57"/>
      <c r="G303" s="57"/>
      <c r="H303" s="57"/>
      <c r="I303" s="57"/>
    </row>
    <row r="304">
      <c r="E304" s="57"/>
      <c r="F304" s="57"/>
      <c r="G304" s="57"/>
      <c r="H304" s="57"/>
      <c r="I304" s="57"/>
    </row>
    <row r="305">
      <c r="E305" s="57"/>
      <c r="F305" s="57"/>
      <c r="G305" s="57"/>
      <c r="H305" s="57"/>
      <c r="I305" s="57"/>
    </row>
    <row r="306">
      <c r="E306" s="57"/>
      <c r="F306" s="57"/>
      <c r="G306" s="57"/>
      <c r="H306" s="57"/>
      <c r="I306" s="57"/>
    </row>
    <row r="307">
      <c r="E307" s="57"/>
      <c r="F307" s="57"/>
      <c r="G307" s="57"/>
      <c r="H307" s="57"/>
      <c r="I307" s="57"/>
    </row>
    <row r="308">
      <c r="E308" s="57"/>
      <c r="F308" s="57"/>
      <c r="G308" s="57"/>
      <c r="H308" s="57"/>
      <c r="I308" s="57"/>
    </row>
    <row r="309">
      <c r="E309" s="57"/>
      <c r="F309" s="57"/>
      <c r="G309" s="57"/>
      <c r="H309" s="57"/>
      <c r="I309" s="57"/>
    </row>
    <row r="310">
      <c r="E310" s="57"/>
      <c r="F310" s="57"/>
      <c r="G310" s="57"/>
      <c r="H310" s="57"/>
      <c r="I310" s="57"/>
    </row>
    <row r="311">
      <c r="E311" s="57"/>
      <c r="F311" s="57"/>
      <c r="G311" s="57"/>
      <c r="H311" s="57"/>
      <c r="I311" s="57"/>
    </row>
    <row r="312">
      <c r="E312" s="57"/>
      <c r="F312" s="57"/>
      <c r="G312" s="57"/>
      <c r="H312" s="57"/>
      <c r="I312" s="57"/>
    </row>
    <row r="313">
      <c r="E313" s="57"/>
      <c r="F313" s="57"/>
      <c r="G313" s="57"/>
      <c r="H313" s="57"/>
      <c r="I313" s="57"/>
    </row>
    <row r="314">
      <c r="E314" s="57"/>
      <c r="F314" s="57"/>
      <c r="G314" s="57"/>
      <c r="H314" s="57"/>
      <c r="I314" s="57"/>
    </row>
    <row r="315">
      <c r="E315" s="57"/>
      <c r="F315" s="57"/>
      <c r="G315" s="57"/>
      <c r="H315" s="57"/>
      <c r="I315" s="57"/>
    </row>
    <row r="316">
      <c r="E316" s="57"/>
      <c r="F316" s="57"/>
      <c r="G316" s="57"/>
      <c r="H316" s="57"/>
      <c r="I316" s="57"/>
    </row>
    <row r="317">
      <c r="E317" s="57"/>
      <c r="F317" s="57"/>
      <c r="G317" s="57"/>
      <c r="H317" s="57"/>
      <c r="I317" s="57"/>
    </row>
    <row r="318">
      <c r="E318" s="57"/>
      <c r="F318" s="57"/>
      <c r="G318" s="57"/>
      <c r="H318" s="57"/>
      <c r="I318" s="57"/>
    </row>
    <row r="319">
      <c r="E319" s="57"/>
      <c r="F319" s="57"/>
      <c r="G319" s="57"/>
      <c r="H319" s="57"/>
      <c r="I319" s="57"/>
    </row>
    <row r="320">
      <c r="E320" s="57"/>
      <c r="F320" s="57"/>
      <c r="G320" s="57"/>
      <c r="H320" s="57"/>
      <c r="I320" s="57"/>
    </row>
    <row r="321">
      <c r="E321" s="57"/>
      <c r="F321" s="57"/>
      <c r="G321" s="57"/>
      <c r="H321" s="57"/>
      <c r="I321" s="57"/>
    </row>
    <row r="322">
      <c r="E322" s="57"/>
      <c r="F322" s="57"/>
      <c r="G322" s="57"/>
      <c r="H322" s="57"/>
      <c r="I322" s="57"/>
    </row>
    <row r="323">
      <c r="E323" s="57"/>
      <c r="F323" s="57"/>
      <c r="G323" s="57"/>
      <c r="H323" s="57"/>
      <c r="I323" s="57"/>
    </row>
    <row r="324">
      <c r="E324" s="57"/>
      <c r="F324" s="57"/>
      <c r="G324" s="57"/>
      <c r="H324" s="57"/>
      <c r="I324" s="57"/>
    </row>
    <row r="325">
      <c r="E325" s="57"/>
      <c r="F325" s="57"/>
      <c r="G325" s="57"/>
      <c r="H325" s="57"/>
      <c r="I325" s="57"/>
    </row>
    <row r="326">
      <c r="E326" s="57"/>
      <c r="F326" s="57"/>
      <c r="G326" s="57"/>
      <c r="H326" s="57"/>
      <c r="I326" s="57"/>
    </row>
    <row r="327">
      <c r="E327" s="57"/>
      <c r="F327" s="57"/>
      <c r="G327" s="57"/>
      <c r="H327" s="57"/>
      <c r="I327" s="57"/>
    </row>
    <row r="328">
      <c r="E328" s="57"/>
      <c r="F328" s="57"/>
      <c r="G328" s="57"/>
      <c r="H328" s="57"/>
      <c r="I328" s="57"/>
    </row>
    <row r="329">
      <c r="E329" s="57"/>
      <c r="F329" s="57"/>
      <c r="G329" s="57"/>
      <c r="H329" s="57"/>
      <c r="I329" s="57"/>
    </row>
    <row r="330">
      <c r="E330" s="57"/>
      <c r="F330" s="57"/>
      <c r="G330" s="57"/>
      <c r="H330" s="57"/>
      <c r="I330" s="57"/>
    </row>
    <row r="331">
      <c r="E331" s="57"/>
      <c r="F331" s="57"/>
      <c r="G331" s="57"/>
      <c r="H331" s="57"/>
      <c r="I331" s="57"/>
    </row>
    <row r="332">
      <c r="E332" s="57"/>
      <c r="F332" s="57"/>
      <c r="G332" s="57"/>
      <c r="H332" s="57"/>
      <c r="I332" s="57"/>
    </row>
    <row r="333">
      <c r="E333" s="57"/>
      <c r="F333" s="57"/>
      <c r="G333" s="57"/>
      <c r="H333" s="57"/>
      <c r="I333" s="57"/>
    </row>
    <row r="334">
      <c r="E334" s="57"/>
      <c r="F334" s="57"/>
      <c r="G334" s="57"/>
      <c r="H334" s="57"/>
      <c r="I334" s="57"/>
    </row>
    <row r="335">
      <c r="E335" s="57"/>
      <c r="F335" s="57"/>
      <c r="G335" s="57"/>
      <c r="H335" s="57"/>
      <c r="I335" s="57"/>
    </row>
    <row r="336">
      <c r="E336" s="57"/>
      <c r="F336" s="57"/>
      <c r="G336" s="57"/>
      <c r="H336" s="57"/>
      <c r="I336" s="57"/>
    </row>
    <row r="337">
      <c r="E337" s="57"/>
      <c r="F337" s="57"/>
      <c r="G337" s="57"/>
      <c r="H337" s="57"/>
      <c r="I337" s="57"/>
    </row>
    <row r="338">
      <c r="E338" s="57"/>
      <c r="F338" s="57"/>
      <c r="G338" s="57"/>
      <c r="H338" s="57"/>
      <c r="I338" s="57"/>
    </row>
    <row r="339">
      <c r="E339" s="57"/>
      <c r="F339" s="57"/>
      <c r="G339" s="57"/>
      <c r="H339" s="57"/>
      <c r="I339" s="57"/>
    </row>
    <row r="340">
      <c r="E340" s="57"/>
      <c r="F340" s="57"/>
      <c r="G340" s="57"/>
      <c r="H340" s="57"/>
      <c r="I340" s="57"/>
    </row>
    <row r="341">
      <c r="E341" s="57"/>
      <c r="F341" s="57"/>
      <c r="G341" s="57"/>
      <c r="H341" s="57"/>
      <c r="I341" s="57"/>
    </row>
    <row r="342">
      <c r="E342" s="57"/>
      <c r="F342" s="57"/>
      <c r="G342" s="57"/>
      <c r="H342" s="57"/>
      <c r="I342" s="57"/>
    </row>
    <row r="343">
      <c r="E343" s="57"/>
      <c r="F343" s="57"/>
      <c r="G343" s="57"/>
      <c r="H343" s="57"/>
      <c r="I343" s="57"/>
    </row>
    <row r="344">
      <c r="E344" s="57"/>
      <c r="F344" s="57"/>
      <c r="G344" s="57"/>
      <c r="H344" s="57"/>
      <c r="I344" s="57"/>
    </row>
    <row r="345">
      <c r="E345" s="57"/>
      <c r="F345" s="57"/>
      <c r="G345" s="57"/>
      <c r="H345" s="57"/>
      <c r="I345" s="57"/>
    </row>
    <row r="346">
      <c r="E346" s="57"/>
      <c r="F346" s="57"/>
      <c r="G346" s="57"/>
      <c r="H346" s="57"/>
      <c r="I346" s="57"/>
    </row>
    <row r="347">
      <c r="E347" s="57"/>
      <c r="F347" s="57"/>
      <c r="G347" s="57"/>
      <c r="H347" s="57"/>
      <c r="I347" s="57"/>
    </row>
    <row r="348">
      <c r="E348" s="57"/>
      <c r="F348" s="57"/>
      <c r="G348" s="57"/>
      <c r="H348" s="57"/>
      <c r="I348" s="57"/>
    </row>
    <row r="349">
      <c r="E349" s="57"/>
      <c r="F349" s="57"/>
      <c r="G349" s="57"/>
      <c r="H349" s="57"/>
      <c r="I349" s="57"/>
    </row>
    <row r="350">
      <c r="E350" s="57"/>
      <c r="F350" s="57"/>
      <c r="G350" s="57"/>
      <c r="H350" s="57"/>
      <c r="I350" s="57"/>
    </row>
    <row r="351">
      <c r="E351" s="57"/>
      <c r="F351" s="57"/>
      <c r="G351" s="57"/>
      <c r="H351" s="57"/>
      <c r="I351" s="57"/>
    </row>
    <row r="352">
      <c r="E352" s="57"/>
      <c r="F352" s="57"/>
      <c r="G352" s="57"/>
      <c r="H352" s="57"/>
      <c r="I352" s="57"/>
    </row>
    <row r="353">
      <c r="E353" s="57"/>
      <c r="F353" s="57"/>
      <c r="G353" s="57"/>
      <c r="H353" s="57"/>
      <c r="I353" s="57"/>
    </row>
    <row r="354">
      <c r="E354" s="57"/>
      <c r="F354" s="57"/>
      <c r="G354" s="57"/>
      <c r="H354" s="57"/>
      <c r="I354" s="57"/>
    </row>
    <row r="355">
      <c r="E355" s="57"/>
      <c r="F355" s="57"/>
      <c r="G355" s="57"/>
      <c r="H355" s="57"/>
      <c r="I355" s="57"/>
    </row>
    <row r="356">
      <c r="E356" s="57"/>
      <c r="F356" s="57"/>
      <c r="G356" s="57"/>
      <c r="H356" s="57"/>
      <c r="I356" s="57"/>
    </row>
    <row r="357">
      <c r="E357" s="57"/>
      <c r="F357" s="57"/>
      <c r="G357" s="57"/>
      <c r="H357" s="57"/>
      <c r="I357" s="57"/>
    </row>
    <row r="358">
      <c r="E358" s="57"/>
      <c r="F358" s="57"/>
      <c r="G358" s="57"/>
      <c r="H358" s="57"/>
      <c r="I358" s="57"/>
    </row>
    <row r="359">
      <c r="E359" s="57"/>
      <c r="F359" s="57"/>
      <c r="G359" s="57"/>
      <c r="H359" s="57"/>
      <c r="I359" s="57"/>
    </row>
    <row r="360">
      <c r="E360" s="57"/>
      <c r="F360" s="57"/>
      <c r="G360" s="57"/>
      <c r="H360" s="57"/>
      <c r="I360" s="57"/>
    </row>
    <row r="361">
      <c r="E361" s="57"/>
      <c r="F361" s="57"/>
      <c r="G361" s="57"/>
      <c r="H361" s="57"/>
      <c r="I361" s="57"/>
    </row>
    <row r="362">
      <c r="E362" s="57"/>
      <c r="F362" s="57"/>
      <c r="G362" s="57"/>
      <c r="H362" s="57"/>
      <c r="I362" s="57"/>
    </row>
    <row r="363">
      <c r="E363" s="57"/>
      <c r="F363" s="57"/>
      <c r="G363" s="57"/>
      <c r="H363" s="57"/>
      <c r="I363" s="57"/>
    </row>
    <row r="364">
      <c r="E364" s="57"/>
      <c r="F364" s="57"/>
      <c r="G364" s="57"/>
      <c r="H364" s="57"/>
      <c r="I364" s="57"/>
    </row>
    <row r="365">
      <c r="E365" s="57"/>
      <c r="F365" s="57"/>
      <c r="G365" s="57"/>
      <c r="H365" s="57"/>
      <c r="I365" s="57"/>
    </row>
    <row r="366">
      <c r="E366" s="57"/>
      <c r="F366" s="57"/>
      <c r="G366" s="57"/>
      <c r="H366" s="57"/>
      <c r="I366" s="57"/>
    </row>
    <row r="367">
      <c r="E367" s="57"/>
      <c r="F367" s="57"/>
      <c r="G367" s="57"/>
      <c r="H367" s="57"/>
      <c r="I367" s="57"/>
    </row>
    <row r="368">
      <c r="E368" s="57"/>
      <c r="F368" s="57"/>
      <c r="G368" s="57"/>
      <c r="H368" s="57"/>
      <c r="I368" s="57"/>
    </row>
    <row r="369">
      <c r="E369" s="57"/>
      <c r="F369" s="57"/>
      <c r="G369" s="57"/>
      <c r="H369" s="57"/>
      <c r="I369" s="57"/>
    </row>
    <row r="370">
      <c r="E370" s="57"/>
      <c r="F370" s="57"/>
      <c r="G370" s="57"/>
      <c r="H370" s="57"/>
      <c r="I370" s="57"/>
    </row>
    <row r="371">
      <c r="E371" s="57"/>
      <c r="F371" s="57"/>
      <c r="G371" s="57"/>
      <c r="H371" s="57"/>
      <c r="I371" s="57"/>
    </row>
    <row r="372">
      <c r="E372" s="57"/>
      <c r="F372" s="57"/>
      <c r="G372" s="57"/>
      <c r="H372" s="57"/>
      <c r="I372" s="57"/>
    </row>
    <row r="373">
      <c r="E373" s="57"/>
      <c r="F373" s="57"/>
      <c r="G373" s="57"/>
      <c r="H373" s="57"/>
      <c r="I373" s="57"/>
    </row>
    <row r="374">
      <c r="E374" s="57"/>
      <c r="F374" s="57"/>
      <c r="G374" s="57"/>
      <c r="H374" s="57"/>
      <c r="I374" s="57"/>
    </row>
    <row r="375">
      <c r="E375" s="57"/>
      <c r="F375" s="57"/>
      <c r="G375" s="57"/>
      <c r="H375" s="57"/>
      <c r="I375" s="57"/>
    </row>
    <row r="376">
      <c r="E376" s="57"/>
      <c r="F376" s="57"/>
      <c r="G376" s="57"/>
      <c r="H376" s="57"/>
      <c r="I376" s="57"/>
    </row>
    <row r="377">
      <c r="E377" s="57"/>
      <c r="F377" s="57"/>
      <c r="G377" s="57"/>
      <c r="H377" s="57"/>
      <c r="I377" s="57"/>
    </row>
    <row r="378">
      <c r="E378" s="57"/>
      <c r="F378" s="57"/>
      <c r="G378" s="57"/>
      <c r="H378" s="57"/>
      <c r="I378" s="57"/>
    </row>
    <row r="379">
      <c r="E379" s="57"/>
      <c r="F379" s="57"/>
      <c r="G379" s="57"/>
      <c r="H379" s="57"/>
      <c r="I379" s="57"/>
    </row>
    <row r="380">
      <c r="E380" s="57"/>
      <c r="F380" s="57"/>
      <c r="G380" s="57"/>
      <c r="H380" s="57"/>
      <c r="I380" s="57"/>
    </row>
    <row r="381">
      <c r="E381" s="57"/>
      <c r="F381" s="57"/>
      <c r="G381" s="57"/>
      <c r="H381" s="57"/>
      <c r="I381" s="57"/>
    </row>
    <row r="382">
      <c r="E382" s="57"/>
      <c r="F382" s="57"/>
      <c r="G382" s="57"/>
      <c r="H382" s="57"/>
      <c r="I382" s="57"/>
    </row>
    <row r="383">
      <c r="E383" s="57"/>
      <c r="F383" s="57"/>
      <c r="G383" s="57"/>
      <c r="H383" s="57"/>
      <c r="I383" s="57"/>
    </row>
    <row r="384">
      <c r="E384" s="57"/>
      <c r="F384" s="57"/>
      <c r="G384" s="57"/>
      <c r="H384" s="57"/>
      <c r="I384" s="57"/>
    </row>
    <row r="385">
      <c r="E385" s="57"/>
      <c r="F385" s="57"/>
      <c r="G385" s="57"/>
      <c r="H385" s="57"/>
      <c r="I385" s="57"/>
    </row>
    <row r="386">
      <c r="E386" s="57"/>
      <c r="F386" s="57"/>
      <c r="G386" s="57"/>
      <c r="H386" s="57"/>
      <c r="I386" s="57"/>
    </row>
    <row r="387">
      <c r="E387" s="57"/>
      <c r="F387" s="57"/>
      <c r="G387" s="57"/>
      <c r="H387" s="57"/>
      <c r="I387" s="57"/>
    </row>
    <row r="388">
      <c r="E388" s="57"/>
      <c r="F388" s="57"/>
      <c r="G388" s="57"/>
      <c r="H388" s="57"/>
      <c r="I388" s="57"/>
    </row>
    <row r="389">
      <c r="E389" s="57"/>
      <c r="F389" s="57"/>
      <c r="G389" s="57"/>
      <c r="H389" s="57"/>
      <c r="I389" s="57"/>
    </row>
    <row r="390">
      <c r="E390" s="57"/>
      <c r="F390" s="57"/>
      <c r="G390" s="57"/>
      <c r="H390" s="57"/>
      <c r="I390" s="57"/>
    </row>
    <row r="391">
      <c r="E391" s="57"/>
      <c r="F391" s="57"/>
      <c r="G391" s="57"/>
      <c r="H391" s="57"/>
      <c r="I391" s="57"/>
    </row>
    <row r="392">
      <c r="E392" s="57"/>
      <c r="F392" s="57"/>
      <c r="G392" s="57"/>
      <c r="H392" s="57"/>
      <c r="I392" s="57"/>
    </row>
    <row r="393">
      <c r="E393" s="57"/>
      <c r="F393" s="57"/>
      <c r="G393" s="57"/>
      <c r="H393" s="57"/>
      <c r="I393" s="57"/>
    </row>
    <row r="394">
      <c r="E394" s="57"/>
      <c r="F394" s="57"/>
      <c r="G394" s="57"/>
      <c r="H394" s="57"/>
      <c r="I394" s="57"/>
    </row>
    <row r="395">
      <c r="E395" s="57"/>
      <c r="F395" s="57"/>
      <c r="G395" s="57"/>
      <c r="H395" s="57"/>
      <c r="I395" s="57"/>
    </row>
    <row r="396">
      <c r="E396" s="57"/>
      <c r="F396" s="57"/>
      <c r="G396" s="57"/>
      <c r="H396" s="57"/>
      <c r="I396" s="57"/>
    </row>
    <row r="397">
      <c r="E397" s="57"/>
      <c r="F397" s="57"/>
      <c r="G397" s="57"/>
      <c r="H397" s="57"/>
      <c r="I397" s="57"/>
    </row>
    <row r="398">
      <c r="E398" s="57"/>
      <c r="F398" s="57"/>
      <c r="G398" s="57"/>
      <c r="H398" s="57"/>
      <c r="I398" s="57"/>
    </row>
    <row r="399">
      <c r="E399" s="57"/>
      <c r="F399" s="57"/>
      <c r="G399" s="57"/>
      <c r="H399" s="57"/>
      <c r="I399" s="57"/>
    </row>
    <row r="400">
      <c r="E400" s="57"/>
      <c r="F400" s="57"/>
      <c r="G400" s="57"/>
      <c r="H400" s="57"/>
      <c r="I400" s="57"/>
    </row>
    <row r="401">
      <c r="E401" s="57"/>
      <c r="F401" s="57"/>
      <c r="G401" s="57"/>
      <c r="H401" s="57"/>
      <c r="I401" s="57"/>
    </row>
    <row r="402">
      <c r="E402" s="57"/>
      <c r="F402" s="57"/>
      <c r="G402" s="57"/>
      <c r="H402" s="57"/>
      <c r="I402" s="57"/>
    </row>
    <row r="403">
      <c r="E403" s="57"/>
      <c r="F403" s="57"/>
      <c r="G403" s="57"/>
      <c r="H403" s="57"/>
      <c r="I403" s="57"/>
    </row>
    <row r="404">
      <c r="E404" s="57"/>
      <c r="F404" s="57"/>
      <c r="G404" s="57"/>
      <c r="H404" s="57"/>
      <c r="I404" s="57"/>
    </row>
    <row r="405">
      <c r="E405" s="57"/>
      <c r="F405" s="57"/>
      <c r="G405" s="57"/>
      <c r="H405" s="57"/>
      <c r="I405" s="57"/>
    </row>
    <row r="406">
      <c r="E406" s="57"/>
      <c r="F406" s="57"/>
      <c r="G406" s="57"/>
      <c r="H406" s="57"/>
      <c r="I406" s="57"/>
    </row>
    <row r="407">
      <c r="E407" s="57"/>
      <c r="F407" s="57"/>
      <c r="G407" s="57"/>
      <c r="H407" s="57"/>
      <c r="I407" s="57"/>
    </row>
    <row r="408">
      <c r="E408" s="57"/>
      <c r="F408" s="57"/>
      <c r="G408" s="57"/>
      <c r="H408" s="57"/>
      <c r="I408" s="57"/>
    </row>
    <row r="409">
      <c r="E409" s="57"/>
      <c r="F409" s="57"/>
      <c r="G409" s="57"/>
      <c r="H409" s="57"/>
      <c r="I409" s="57"/>
    </row>
    <row r="410">
      <c r="E410" s="57"/>
      <c r="F410" s="57"/>
      <c r="G410" s="57"/>
      <c r="H410" s="57"/>
      <c r="I410" s="57"/>
    </row>
    <row r="411">
      <c r="E411" s="57"/>
      <c r="F411" s="57"/>
      <c r="G411" s="57"/>
      <c r="H411" s="57"/>
      <c r="I411" s="57"/>
    </row>
    <row r="412">
      <c r="E412" s="57"/>
      <c r="F412" s="57"/>
      <c r="G412" s="57"/>
      <c r="H412" s="57"/>
      <c r="I412" s="57"/>
    </row>
    <row r="413">
      <c r="E413" s="57"/>
      <c r="F413" s="57"/>
      <c r="G413" s="57"/>
      <c r="H413" s="57"/>
      <c r="I413" s="57"/>
    </row>
    <row r="414">
      <c r="E414" s="57"/>
      <c r="F414" s="57"/>
      <c r="G414" s="57"/>
      <c r="H414" s="57"/>
      <c r="I414" s="57"/>
    </row>
    <row r="415">
      <c r="E415" s="57"/>
      <c r="F415" s="57"/>
      <c r="G415" s="57"/>
      <c r="H415" s="57"/>
      <c r="I415" s="57"/>
    </row>
    <row r="416">
      <c r="E416" s="57"/>
      <c r="F416" s="57"/>
      <c r="G416" s="57"/>
      <c r="H416" s="57"/>
      <c r="I416" s="57"/>
    </row>
    <row r="417">
      <c r="E417" s="57"/>
      <c r="F417" s="57"/>
      <c r="G417" s="57"/>
      <c r="H417" s="57"/>
      <c r="I417" s="57"/>
    </row>
    <row r="418">
      <c r="E418" s="57"/>
      <c r="F418" s="57"/>
      <c r="G418" s="57"/>
      <c r="H418" s="57"/>
      <c r="I418" s="57"/>
    </row>
    <row r="419">
      <c r="E419" s="57"/>
      <c r="F419" s="57"/>
      <c r="G419" s="57"/>
      <c r="H419" s="57"/>
      <c r="I419" s="57"/>
    </row>
    <row r="420">
      <c r="E420" s="57"/>
      <c r="F420" s="57"/>
      <c r="G420" s="57"/>
      <c r="H420" s="57"/>
      <c r="I420" s="57"/>
    </row>
    <row r="421">
      <c r="E421" s="57"/>
      <c r="F421" s="57"/>
      <c r="G421" s="57"/>
      <c r="H421" s="57"/>
      <c r="I421" s="57"/>
    </row>
    <row r="422">
      <c r="E422" s="57"/>
      <c r="F422" s="57"/>
      <c r="G422" s="57"/>
      <c r="H422" s="57"/>
      <c r="I422" s="57"/>
    </row>
    <row r="423">
      <c r="E423" s="57"/>
      <c r="F423" s="57"/>
      <c r="G423" s="57"/>
      <c r="H423" s="57"/>
      <c r="I423" s="57"/>
    </row>
    <row r="424">
      <c r="E424" s="57"/>
      <c r="F424" s="57"/>
      <c r="G424" s="57"/>
      <c r="H424" s="57"/>
      <c r="I424" s="57"/>
    </row>
    <row r="425">
      <c r="E425" s="57"/>
      <c r="F425" s="57"/>
      <c r="G425" s="57"/>
      <c r="H425" s="57"/>
      <c r="I425" s="57"/>
    </row>
    <row r="426">
      <c r="E426" s="57"/>
      <c r="F426" s="57"/>
      <c r="G426" s="57"/>
      <c r="H426" s="57"/>
      <c r="I426" s="57"/>
    </row>
    <row r="427">
      <c r="E427" s="57"/>
      <c r="F427" s="57"/>
      <c r="G427" s="57"/>
      <c r="H427" s="57"/>
      <c r="I427" s="57"/>
    </row>
    <row r="428">
      <c r="E428" s="57"/>
      <c r="F428" s="57"/>
      <c r="G428" s="57"/>
      <c r="H428" s="57"/>
      <c r="I428" s="57"/>
    </row>
    <row r="429">
      <c r="E429" s="57"/>
      <c r="F429" s="57"/>
      <c r="G429" s="57"/>
      <c r="H429" s="57"/>
      <c r="I429" s="57"/>
    </row>
    <row r="430">
      <c r="E430" s="57"/>
      <c r="F430" s="57"/>
      <c r="G430" s="57"/>
      <c r="H430" s="57"/>
      <c r="I430" s="57"/>
    </row>
    <row r="431">
      <c r="E431" s="57"/>
      <c r="F431" s="57"/>
      <c r="G431" s="57"/>
      <c r="H431" s="57"/>
      <c r="I431" s="57"/>
    </row>
    <row r="432">
      <c r="E432" s="57"/>
      <c r="F432" s="57"/>
      <c r="G432" s="57"/>
      <c r="H432" s="57"/>
      <c r="I432" s="57"/>
    </row>
    <row r="433">
      <c r="E433" s="57"/>
      <c r="F433" s="57"/>
      <c r="G433" s="57"/>
      <c r="H433" s="57"/>
      <c r="I433" s="57"/>
    </row>
    <row r="434">
      <c r="E434" s="57"/>
      <c r="F434" s="57"/>
      <c r="G434" s="57"/>
      <c r="H434" s="57"/>
      <c r="I434" s="57"/>
    </row>
    <row r="435">
      <c r="E435" s="57"/>
      <c r="F435" s="57"/>
      <c r="G435" s="57"/>
      <c r="H435" s="57"/>
      <c r="I435" s="57"/>
    </row>
    <row r="436">
      <c r="E436" s="57"/>
      <c r="F436" s="57"/>
      <c r="G436" s="57"/>
      <c r="H436" s="57"/>
      <c r="I436" s="57"/>
    </row>
    <row r="437">
      <c r="E437" s="57"/>
      <c r="F437" s="57"/>
      <c r="G437" s="57"/>
      <c r="H437" s="57"/>
      <c r="I437" s="57"/>
    </row>
    <row r="438">
      <c r="E438" s="57"/>
      <c r="F438" s="57"/>
      <c r="G438" s="57"/>
      <c r="H438" s="57"/>
      <c r="I438" s="57"/>
    </row>
    <row r="439">
      <c r="E439" s="57"/>
      <c r="F439" s="57"/>
      <c r="G439" s="57"/>
      <c r="H439" s="57"/>
      <c r="I439" s="57"/>
    </row>
    <row r="440">
      <c r="E440" s="57"/>
      <c r="F440" s="57"/>
      <c r="G440" s="57"/>
      <c r="H440" s="57"/>
      <c r="I440" s="57"/>
    </row>
    <row r="441">
      <c r="E441" s="57"/>
      <c r="F441" s="57"/>
      <c r="G441" s="57"/>
      <c r="H441" s="57"/>
      <c r="I441" s="57"/>
    </row>
    <row r="442">
      <c r="E442" s="57"/>
      <c r="F442" s="57"/>
      <c r="G442" s="57"/>
      <c r="H442" s="57"/>
      <c r="I442" s="57"/>
    </row>
    <row r="443">
      <c r="E443" s="57"/>
      <c r="F443" s="57"/>
      <c r="G443" s="57"/>
      <c r="H443" s="57"/>
      <c r="I443" s="57"/>
    </row>
    <row r="444">
      <c r="E444" s="57"/>
      <c r="F444" s="57"/>
      <c r="G444" s="57"/>
      <c r="H444" s="57"/>
      <c r="I444" s="57"/>
    </row>
    <row r="445">
      <c r="E445" s="57"/>
      <c r="F445" s="57"/>
      <c r="G445" s="57"/>
      <c r="H445" s="57"/>
      <c r="I445" s="57"/>
    </row>
    <row r="446">
      <c r="E446" s="57"/>
      <c r="F446" s="57"/>
      <c r="G446" s="57"/>
      <c r="H446" s="57"/>
      <c r="I446" s="57"/>
    </row>
    <row r="447">
      <c r="E447" s="57"/>
      <c r="F447" s="57"/>
      <c r="G447" s="57"/>
      <c r="H447" s="57"/>
      <c r="I447" s="57"/>
    </row>
    <row r="448">
      <c r="E448" s="57"/>
      <c r="F448" s="57"/>
      <c r="G448" s="57"/>
      <c r="H448" s="57"/>
      <c r="I448" s="57"/>
    </row>
    <row r="449">
      <c r="E449" s="57"/>
      <c r="F449" s="57"/>
      <c r="G449" s="57"/>
      <c r="H449" s="57"/>
      <c r="I449" s="57"/>
    </row>
    <row r="450">
      <c r="E450" s="57"/>
      <c r="F450" s="57"/>
      <c r="G450" s="57"/>
      <c r="H450" s="57"/>
      <c r="I450" s="57"/>
    </row>
    <row r="451">
      <c r="E451" s="57"/>
      <c r="F451" s="57"/>
      <c r="G451" s="57"/>
      <c r="H451" s="57"/>
      <c r="I451" s="57"/>
    </row>
    <row r="452">
      <c r="E452" s="57"/>
      <c r="F452" s="57"/>
      <c r="G452" s="57"/>
      <c r="H452" s="57"/>
      <c r="I452" s="57"/>
    </row>
    <row r="453">
      <c r="E453" s="57"/>
      <c r="F453" s="57"/>
      <c r="G453" s="57"/>
      <c r="H453" s="57"/>
      <c r="I453" s="57"/>
    </row>
    <row r="454">
      <c r="E454" s="57"/>
      <c r="F454" s="57"/>
      <c r="G454" s="57"/>
      <c r="H454" s="57"/>
      <c r="I454" s="57"/>
    </row>
    <row r="455">
      <c r="E455" s="57"/>
      <c r="F455" s="57"/>
      <c r="G455" s="57"/>
      <c r="H455" s="57"/>
      <c r="I455" s="57"/>
    </row>
    <row r="456">
      <c r="E456" s="57"/>
      <c r="F456" s="57"/>
      <c r="G456" s="57"/>
      <c r="H456" s="57"/>
      <c r="I456" s="57"/>
    </row>
    <row r="457">
      <c r="E457" s="57"/>
      <c r="F457" s="57"/>
      <c r="G457" s="57"/>
      <c r="H457" s="57"/>
      <c r="I457" s="57"/>
    </row>
    <row r="458">
      <c r="E458" s="57"/>
      <c r="F458" s="57"/>
      <c r="G458" s="57"/>
      <c r="H458" s="57"/>
      <c r="I458" s="57"/>
    </row>
    <row r="459">
      <c r="E459" s="57"/>
      <c r="F459" s="57"/>
      <c r="G459" s="57"/>
      <c r="H459" s="57"/>
      <c r="I459" s="57"/>
    </row>
    <row r="460">
      <c r="E460" s="57"/>
      <c r="F460" s="57"/>
      <c r="G460" s="57"/>
      <c r="H460" s="57"/>
      <c r="I460" s="57"/>
    </row>
    <row r="461">
      <c r="E461" s="57"/>
      <c r="F461" s="57"/>
      <c r="G461" s="57"/>
      <c r="H461" s="57"/>
      <c r="I461" s="57"/>
    </row>
    <row r="462">
      <c r="E462" s="57"/>
      <c r="F462" s="57"/>
      <c r="G462" s="57"/>
      <c r="H462" s="57"/>
      <c r="I462" s="57"/>
    </row>
    <row r="463">
      <c r="E463" s="57"/>
      <c r="F463" s="57"/>
      <c r="G463" s="57"/>
      <c r="H463" s="57"/>
      <c r="I463" s="57"/>
    </row>
    <row r="464">
      <c r="E464" s="57"/>
      <c r="F464" s="57"/>
      <c r="G464" s="57"/>
      <c r="H464" s="57"/>
      <c r="I464" s="57"/>
    </row>
    <row r="465">
      <c r="E465" s="57"/>
      <c r="F465" s="57"/>
      <c r="G465" s="57"/>
      <c r="H465" s="57"/>
      <c r="I465" s="57"/>
    </row>
    <row r="466">
      <c r="E466" s="57"/>
      <c r="F466" s="57"/>
      <c r="G466" s="57"/>
      <c r="H466" s="57"/>
      <c r="I466" s="57"/>
    </row>
    <row r="467">
      <c r="E467" s="57"/>
      <c r="F467" s="57"/>
      <c r="G467" s="57"/>
      <c r="H467" s="57"/>
      <c r="I467" s="57"/>
    </row>
    <row r="468">
      <c r="E468" s="57"/>
      <c r="F468" s="57"/>
      <c r="G468" s="57"/>
      <c r="H468" s="57"/>
      <c r="I468" s="57"/>
    </row>
    <row r="469">
      <c r="E469" s="57"/>
      <c r="F469" s="57"/>
      <c r="G469" s="57"/>
      <c r="H469" s="57"/>
      <c r="I469" s="57"/>
    </row>
    <row r="470">
      <c r="E470" s="57"/>
      <c r="F470" s="57"/>
      <c r="G470" s="57"/>
      <c r="H470" s="57"/>
      <c r="I470" s="57"/>
    </row>
    <row r="471">
      <c r="E471" s="57"/>
      <c r="F471" s="57"/>
      <c r="G471" s="57"/>
      <c r="H471" s="57"/>
      <c r="I471" s="57"/>
    </row>
    <row r="472">
      <c r="E472" s="57"/>
      <c r="F472" s="57"/>
      <c r="G472" s="57"/>
      <c r="H472" s="57"/>
      <c r="I472" s="57"/>
    </row>
    <row r="473">
      <c r="E473" s="57"/>
      <c r="F473" s="57"/>
      <c r="G473" s="57"/>
      <c r="H473" s="57"/>
      <c r="I473" s="57"/>
    </row>
    <row r="474">
      <c r="E474" s="57"/>
      <c r="F474" s="57"/>
      <c r="G474" s="57"/>
      <c r="H474" s="57"/>
      <c r="I474" s="57"/>
    </row>
    <row r="475">
      <c r="E475" s="57"/>
      <c r="F475" s="57"/>
      <c r="G475" s="57"/>
      <c r="H475" s="57"/>
      <c r="I475" s="57"/>
    </row>
    <row r="476">
      <c r="E476" s="57"/>
      <c r="F476" s="57"/>
      <c r="G476" s="57"/>
      <c r="H476" s="57"/>
      <c r="I476" s="57"/>
    </row>
    <row r="477">
      <c r="E477" s="57"/>
      <c r="F477" s="57"/>
      <c r="G477" s="57"/>
      <c r="H477" s="57"/>
      <c r="I477" s="57"/>
    </row>
    <row r="478">
      <c r="E478" s="57"/>
      <c r="F478" s="57"/>
      <c r="G478" s="57"/>
      <c r="H478" s="57"/>
      <c r="I478" s="57"/>
    </row>
    <row r="479">
      <c r="E479" s="57"/>
      <c r="F479" s="57"/>
      <c r="G479" s="57"/>
      <c r="H479" s="57"/>
      <c r="I479" s="57"/>
    </row>
    <row r="480">
      <c r="E480" s="57"/>
      <c r="F480" s="57"/>
      <c r="G480" s="57"/>
      <c r="H480" s="57"/>
      <c r="I480" s="57"/>
    </row>
    <row r="481">
      <c r="E481" s="57"/>
      <c r="F481" s="57"/>
      <c r="G481" s="57"/>
      <c r="H481" s="57"/>
      <c r="I481" s="57"/>
    </row>
    <row r="482">
      <c r="E482" s="57"/>
      <c r="F482" s="57"/>
      <c r="G482" s="57"/>
      <c r="H482" s="57"/>
      <c r="I482" s="57"/>
    </row>
    <row r="483">
      <c r="E483" s="57"/>
      <c r="F483" s="57"/>
      <c r="G483" s="57"/>
      <c r="H483" s="57"/>
      <c r="I483" s="57"/>
    </row>
    <row r="484">
      <c r="E484" s="57"/>
      <c r="F484" s="57"/>
      <c r="G484" s="57"/>
      <c r="H484" s="57"/>
      <c r="I484" s="57"/>
    </row>
    <row r="485">
      <c r="E485" s="57"/>
      <c r="F485" s="57"/>
      <c r="G485" s="57"/>
      <c r="H485" s="57"/>
      <c r="I485" s="57"/>
    </row>
    <row r="486">
      <c r="E486" s="57"/>
      <c r="F486" s="57"/>
      <c r="G486" s="57"/>
      <c r="H486" s="57"/>
      <c r="I486" s="57"/>
    </row>
    <row r="487">
      <c r="E487" s="57"/>
      <c r="F487" s="57"/>
      <c r="G487" s="57"/>
      <c r="H487" s="57"/>
      <c r="I487" s="57"/>
    </row>
    <row r="488">
      <c r="E488" s="57"/>
      <c r="F488" s="57"/>
      <c r="G488" s="57"/>
      <c r="H488" s="57"/>
      <c r="I488" s="57"/>
    </row>
    <row r="489">
      <c r="E489" s="57"/>
      <c r="F489" s="57"/>
      <c r="G489" s="57"/>
      <c r="H489" s="57"/>
      <c r="I489" s="57"/>
    </row>
    <row r="490">
      <c r="E490" s="57"/>
      <c r="F490" s="57"/>
      <c r="G490" s="57"/>
      <c r="H490" s="57"/>
      <c r="I490" s="57"/>
    </row>
    <row r="491">
      <c r="E491" s="57"/>
      <c r="F491" s="57"/>
      <c r="G491" s="57"/>
      <c r="H491" s="57"/>
      <c r="I491" s="57"/>
    </row>
    <row r="492">
      <c r="E492" s="57"/>
      <c r="F492" s="57"/>
      <c r="G492" s="57"/>
      <c r="H492" s="57"/>
      <c r="I492" s="57"/>
    </row>
    <row r="493">
      <c r="E493" s="57"/>
      <c r="F493" s="57"/>
      <c r="G493" s="57"/>
      <c r="H493" s="57"/>
      <c r="I493" s="57"/>
    </row>
    <row r="494">
      <c r="E494" s="57"/>
      <c r="F494" s="57"/>
      <c r="G494" s="57"/>
      <c r="H494" s="57"/>
      <c r="I494" s="57"/>
    </row>
    <row r="495">
      <c r="E495" s="57"/>
      <c r="F495" s="57"/>
      <c r="G495" s="57"/>
      <c r="H495" s="57"/>
      <c r="I495" s="57"/>
    </row>
    <row r="496">
      <c r="E496" s="57"/>
      <c r="F496" s="57"/>
      <c r="G496" s="57"/>
      <c r="H496" s="57"/>
      <c r="I496" s="57"/>
    </row>
    <row r="497">
      <c r="E497" s="57"/>
      <c r="F497" s="57"/>
      <c r="G497" s="57"/>
      <c r="H497" s="57"/>
      <c r="I497" s="57"/>
    </row>
    <row r="498">
      <c r="E498" s="57"/>
      <c r="F498" s="57"/>
      <c r="G498" s="57"/>
      <c r="H498" s="57"/>
      <c r="I498" s="57"/>
    </row>
    <row r="499">
      <c r="E499" s="57"/>
      <c r="F499" s="57"/>
      <c r="G499" s="57"/>
      <c r="H499" s="57"/>
      <c r="I499" s="57"/>
    </row>
    <row r="500">
      <c r="E500" s="57"/>
      <c r="F500" s="57"/>
      <c r="G500" s="57"/>
      <c r="H500" s="57"/>
      <c r="I500" s="57"/>
    </row>
    <row r="501">
      <c r="E501" s="57"/>
      <c r="F501" s="57"/>
      <c r="G501" s="57"/>
      <c r="H501" s="57"/>
      <c r="I501" s="57"/>
    </row>
    <row r="502">
      <c r="E502" s="57"/>
      <c r="F502" s="57"/>
      <c r="G502" s="57"/>
      <c r="H502" s="57"/>
      <c r="I502" s="57"/>
    </row>
    <row r="503">
      <c r="E503" s="57"/>
      <c r="F503" s="57"/>
      <c r="G503" s="57"/>
      <c r="H503" s="57"/>
      <c r="I503" s="57"/>
    </row>
    <row r="504">
      <c r="E504" s="57"/>
      <c r="F504" s="57"/>
      <c r="G504" s="57"/>
      <c r="H504" s="57"/>
      <c r="I504" s="57"/>
    </row>
    <row r="505">
      <c r="E505" s="57"/>
      <c r="F505" s="57"/>
      <c r="G505" s="57"/>
      <c r="H505" s="57"/>
      <c r="I505" s="57"/>
    </row>
    <row r="506">
      <c r="E506" s="57"/>
      <c r="F506" s="57"/>
      <c r="G506" s="57"/>
      <c r="H506" s="57"/>
      <c r="I506" s="57"/>
    </row>
    <row r="507">
      <c r="E507" s="57"/>
      <c r="F507" s="57"/>
      <c r="G507" s="57"/>
      <c r="H507" s="57"/>
      <c r="I507" s="57"/>
    </row>
    <row r="508">
      <c r="E508" s="57"/>
      <c r="F508" s="57"/>
      <c r="G508" s="57"/>
      <c r="H508" s="57"/>
      <c r="I508" s="57"/>
    </row>
    <row r="509">
      <c r="E509" s="57"/>
      <c r="F509" s="57"/>
      <c r="G509" s="57"/>
      <c r="H509" s="57"/>
      <c r="I509" s="57"/>
    </row>
    <row r="510">
      <c r="E510" s="57"/>
      <c r="F510" s="57"/>
      <c r="G510" s="57"/>
      <c r="H510" s="57"/>
      <c r="I510" s="57"/>
    </row>
    <row r="511">
      <c r="E511" s="57"/>
      <c r="F511" s="57"/>
      <c r="G511" s="57"/>
      <c r="H511" s="57"/>
      <c r="I511" s="57"/>
    </row>
    <row r="512">
      <c r="E512" s="57"/>
      <c r="F512" s="57"/>
      <c r="G512" s="57"/>
      <c r="H512" s="57"/>
      <c r="I512" s="57"/>
    </row>
    <row r="513">
      <c r="E513" s="57"/>
      <c r="F513" s="57"/>
      <c r="G513" s="57"/>
      <c r="H513" s="57"/>
      <c r="I513" s="57"/>
    </row>
    <row r="514">
      <c r="E514" s="57"/>
      <c r="F514" s="57"/>
      <c r="G514" s="57"/>
      <c r="H514" s="57"/>
      <c r="I514" s="57"/>
    </row>
    <row r="515">
      <c r="E515" s="57"/>
      <c r="F515" s="57"/>
      <c r="G515" s="57"/>
      <c r="H515" s="57"/>
      <c r="I515" s="57"/>
    </row>
    <row r="516">
      <c r="E516" s="57"/>
      <c r="F516" s="57"/>
      <c r="G516" s="57"/>
      <c r="H516" s="57"/>
      <c r="I516" s="57"/>
    </row>
    <row r="517">
      <c r="E517" s="57"/>
      <c r="F517" s="57"/>
      <c r="G517" s="57"/>
      <c r="H517" s="57"/>
      <c r="I517" s="57"/>
    </row>
    <row r="518">
      <c r="E518" s="57"/>
      <c r="F518" s="57"/>
      <c r="G518" s="57"/>
      <c r="H518" s="57"/>
      <c r="I518" s="57"/>
    </row>
    <row r="519">
      <c r="E519" s="57"/>
      <c r="F519" s="57"/>
      <c r="G519" s="57"/>
      <c r="H519" s="57"/>
      <c r="I519" s="57"/>
    </row>
    <row r="520">
      <c r="E520" s="57"/>
      <c r="F520" s="57"/>
      <c r="G520" s="57"/>
      <c r="H520" s="57"/>
      <c r="I520" s="57"/>
    </row>
    <row r="521">
      <c r="E521" s="57"/>
      <c r="F521" s="57"/>
      <c r="G521" s="57"/>
      <c r="H521" s="57"/>
      <c r="I521" s="57"/>
    </row>
    <row r="522">
      <c r="E522" s="57"/>
      <c r="F522" s="57"/>
      <c r="G522" s="57"/>
      <c r="H522" s="57"/>
      <c r="I522" s="57"/>
    </row>
    <row r="523">
      <c r="E523" s="57"/>
      <c r="F523" s="57"/>
      <c r="G523" s="57"/>
      <c r="H523" s="57"/>
      <c r="I523" s="57"/>
    </row>
    <row r="524">
      <c r="E524" s="57"/>
      <c r="F524" s="57"/>
      <c r="G524" s="57"/>
      <c r="H524" s="57"/>
      <c r="I524" s="57"/>
    </row>
    <row r="525">
      <c r="E525" s="57"/>
      <c r="F525" s="57"/>
      <c r="G525" s="57"/>
      <c r="H525" s="57"/>
      <c r="I525" s="57"/>
    </row>
    <row r="526">
      <c r="E526" s="57"/>
      <c r="F526" s="57"/>
      <c r="G526" s="57"/>
      <c r="H526" s="57"/>
      <c r="I526" s="57"/>
    </row>
    <row r="527">
      <c r="E527" s="57"/>
      <c r="F527" s="57"/>
      <c r="G527" s="57"/>
      <c r="H527" s="57"/>
      <c r="I527" s="57"/>
    </row>
    <row r="528">
      <c r="E528" s="57"/>
      <c r="F528" s="57"/>
      <c r="G528" s="57"/>
      <c r="H528" s="57"/>
      <c r="I528" s="57"/>
    </row>
    <row r="529">
      <c r="E529" s="57"/>
      <c r="F529" s="57"/>
      <c r="G529" s="57"/>
      <c r="H529" s="57"/>
      <c r="I529" s="57"/>
    </row>
    <row r="530">
      <c r="E530" s="57"/>
      <c r="F530" s="57"/>
      <c r="G530" s="57"/>
      <c r="H530" s="57"/>
      <c r="I530" s="57"/>
    </row>
    <row r="531">
      <c r="E531" s="57"/>
      <c r="F531" s="57"/>
      <c r="G531" s="57"/>
      <c r="H531" s="57"/>
      <c r="I531" s="57"/>
    </row>
    <row r="532">
      <c r="E532" s="57"/>
      <c r="F532" s="57"/>
      <c r="G532" s="57"/>
      <c r="H532" s="57"/>
      <c r="I532" s="57"/>
    </row>
    <row r="533">
      <c r="E533" s="57"/>
      <c r="F533" s="57"/>
      <c r="G533" s="57"/>
      <c r="H533" s="57"/>
      <c r="I533" s="57"/>
    </row>
    <row r="534">
      <c r="E534" s="57"/>
      <c r="F534" s="57"/>
      <c r="G534" s="57"/>
      <c r="H534" s="57"/>
      <c r="I534" s="57"/>
    </row>
    <row r="535">
      <c r="E535" s="57"/>
      <c r="F535" s="57"/>
      <c r="G535" s="57"/>
      <c r="H535" s="57"/>
      <c r="I535" s="57"/>
    </row>
    <row r="536">
      <c r="E536" s="57"/>
      <c r="F536" s="57"/>
      <c r="G536" s="57"/>
      <c r="H536" s="57"/>
      <c r="I536" s="57"/>
    </row>
    <row r="537">
      <c r="E537" s="57"/>
      <c r="F537" s="57"/>
      <c r="G537" s="57"/>
      <c r="H537" s="57"/>
      <c r="I537" s="57"/>
    </row>
    <row r="538">
      <c r="E538" s="57"/>
      <c r="F538" s="57"/>
      <c r="G538" s="57"/>
      <c r="H538" s="57"/>
      <c r="I538" s="57"/>
    </row>
    <row r="539">
      <c r="E539" s="57"/>
      <c r="F539" s="57"/>
      <c r="G539" s="57"/>
      <c r="H539" s="57"/>
      <c r="I539" s="57"/>
    </row>
    <row r="540">
      <c r="E540" s="57"/>
      <c r="F540" s="57"/>
      <c r="G540" s="57"/>
      <c r="H540" s="57"/>
      <c r="I540" s="57"/>
    </row>
    <row r="541">
      <c r="E541" s="57"/>
      <c r="F541" s="57"/>
      <c r="G541" s="57"/>
      <c r="H541" s="57"/>
      <c r="I541" s="57"/>
    </row>
    <row r="542">
      <c r="E542" s="57"/>
      <c r="F542" s="57"/>
      <c r="G542" s="57"/>
      <c r="H542" s="57"/>
      <c r="I542" s="57"/>
    </row>
    <row r="543">
      <c r="E543" s="57"/>
      <c r="F543" s="57"/>
      <c r="G543" s="57"/>
      <c r="H543" s="57"/>
      <c r="I543" s="57"/>
    </row>
    <row r="544">
      <c r="E544" s="57"/>
      <c r="F544" s="57"/>
      <c r="G544" s="57"/>
      <c r="H544" s="57"/>
      <c r="I544" s="57"/>
    </row>
    <row r="545">
      <c r="E545" s="57"/>
      <c r="F545" s="57"/>
      <c r="G545" s="57"/>
      <c r="H545" s="57"/>
      <c r="I545" s="57"/>
    </row>
    <row r="546">
      <c r="E546" s="57"/>
      <c r="F546" s="57"/>
      <c r="G546" s="57"/>
      <c r="H546" s="57"/>
      <c r="I546" s="57"/>
    </row>
    <row r="547">
      <c r="E547" s="57"/>
      <c r="F547" s="57"/>
      <c r="G547" s="57"/>
      <c r="H547" s="57"/>
      <c r="I547" s="57"/>
    </row>
    <row r="548">
      <c r="E548" s="57"/>
      <c r="F548" s="57"/>
      <c r="G548" s="57"/>
      <c r="H548" s="57"/>
      <c r="I548" s="57"/>
    </row>
    <row r="549">
      <c r="E549" s="57"/>
      <c r="F549" s="57"/>
      <c r="G549" s="57"/>
      <c r="H549" s="57"/>
      <c r="I549" s="57"/>
    </row>
    <row r="550">
      <c r="E550" s="57"/>
      <c r="F550" s="57"/>
      <c r="G550" s="57"/>
      <c r="H550" s="57"/>
      <c r="I550" s="57"/>
    </row>
    <row r="551">
      <c r="E551" s="57"/>
      <c r="F551" s="57"/>
      <c r="G551" s="57"/>
      <c r="H551" s="57"/>
      <c r="I551" s="57"/>
    </row>
    <row r="552">
      <c r="E552" s="57"/>
      <c r="F552" s="57"/>
      <c r="G552" s="57"/>
      <c r="H552" s="57"/>
      <c r="I552" s="57"/>
    </row>
    <row r="553">
      <c r="E553" s="57"/>
      <c r="F553" s="57"/>
      <c r="G553" s="57"/>
      <c r="H553" s="57"/>
      <c r="I553" s="57"/>
    </row>
    <row r="554">
      <c r="E554" s="57"/>
      <c r="F554" s="57"/>
      <c r="G554" s="57"/>
      <c r="H554" s="57"/>
      <c r="I554" s="57"/>
    </row>
    <row r="555">
      <c r="E555" s="57"/>
      <c r="F555" s="57"/>
      <c r="G555" s="57"/>
      <c r="H555" s="57"/>
      <c r="I555" s="57"/>
    </row>
    <row r="556">
      <c r="E556" s="57"/>
      <c r="F556" s="57"/>
      <c r="G556" s="57"/>
      <c r="H556" s="57"/>
      <c r="I556" s="57"/>
    </row>
    <row r="557">
      <c r="E557" s="57"/>
      <c r="F557" s="57"/>
      <c r="G557" s="57"/>
      <c r="H557" s="57"/>
      <c r="I557" s="57"/>
    </row>
    <row r="558">
      <c r="E558" s="57"/>
      <c r="F558" s="57"/>
      <c r="G558" s="57"/>
      <c r="H558" s="57"/>
      <c r="I558" s="57"/>
    </row>
    <row r="559">
      <c r="E559" s="57"/>
      <c r="F559" s="57"/>
      <c r="G559" s="57"/>
      <c r="H559" s="57"/>
      <c r="I559" s="57"/>
    </row>
    <row r="560">
      <c r="E560" s="57"/>
      <c r="F560" s="57"/>
      <c r="G560" s="57"/>
      <c r="H560" s="57"/>
      <c r="I560" s="57"/>
    </row>
    <row r="561">
      <c r="E561" s="57"/>
      <c r="F561" s="57"/>
      <c r="G561" s="57"/>
      <c r="H561" s="57"/>
      <c r="I561" s="57"/>
    </row>
    <row r="562">
      <c r="E562" s="57"/>
      <c r="F562" s="57"/>
      <c r="G562" s="57"/>
      <c r="H562" s="57"/>
      <c r="I562" s="57"/>
    </row>
    <row r="563">
      <c r="E563" s="57"/>
      <c r="F563" s="57"/>
      <c r="G563" s="57"/>
      <c r="H563" s="57"/>
      <c r="I563" s="57"/>
    </row>
    <row r="564">
      <c r="E564" s="57"/>
      <c r="F564" s="57"/>
      <c r="G564" s="57"/>
      <c r="H564" s="57"/>
      <c r="I564" s="57"/>
    </row>
    <row r="565">
      <c r="E565" s="57"/>
      <c r="F565" s="57"/>
      <c r="G565" s="57"/>
      <c r="H565" s="57"/>
      <c r="I565" s="57"/>
    </row>
    <row r="566">
      <c r="E566" s="57"/>
      <c r="F566" s="57"/>
      <c r="G566" s="57"/>
      <c r="H566" s="57"/>
      <c r="I566" s="57"/>
    </row>
    <row r="567">
      <c r="E567" s="57"/>
      <c r="F567" s="57"/>
      <c r="G567" s="57"/>
      <c r="H567" s="57"/>
      <c r="I567" s="57"/>
    </row>
    <row r="568">
      <c r="E568" s="57"/>
      <c r="F568" s="57"/>
      <c r="G568" s="57"/>
      <c r="H568" s="57"/>
      <c r="I568" s="57"/>
    </row>
    <row r="569">
      <c r="E569" s="57"/>
      <c r="F569" s="57"/>
      <c r="G569" s="57"/>
      <c r="H569" s="57"/>
      <c r="I569" s="57"/>
    </row>
    <row r="570">
      <c r="E570" s="57"/>
      <c r="F570" s="57"/>
      <c r="G570" s="57"/>
      <c r="H570" s="57"/>
      <c r="I570" s="57"/>
    </row>
    <row r="571">
      <c r="E571" s="57"/>
      <c r="F571" s="57"/>
      <c r="G571" s="57"/>
      <c r="H571" s="57"/>
      <c r="I571" s="57"/>
    </row>
    <row r="572">
      <c r="E572" s="57"/>
      <c r="F572" s="57"/>
      <c r="G572" s="57"/>
      <c r="H572" s="57"/>
      <c r="I572" s="57"/>
    </row>
    <row r="573">
      <c r="E573" s="57"/>
      <c r="F573" s="57"/>
      <c r="G573" s="57"/>
      <c r="H573" s="57"/>
      <c r="I573" s="57"/>
    </row>
    <row r="574">
      <c r="E574" s="57"/>
      <c r="F574" s="57"/>
      <c r="G574" s="57"/>
      <c r="H574" s="57"/>
      <c r="I574" s="57"/>
    </row>
    <row r="575">
      <c r="E575" s="57"/>
      <c r="F575" s="57"/>
      <c r="G575" s="57"/>
      <c r="H575" s="57"/>
      <c r="I575" s="57"/>
    </row>
    <row r="576">
      <c r="E576" s="57"/>
      <c r="F576" s="57"/>
      <c r="G576" s="57"/>
      <c r="H576" s="57"/>
      <c r="I576" s="57"/>
    </row>
    <row r="577">
      <c r="E577" s="57"/>
      <c r="F577" s="57"/>
      <c r="G577" s="57"/>
      <c r="H577" s="57"/>
      <c r="I577" s="57"/>
    </row>
    <row r="578">
      <c r="E578" s="57"/>
      <c r="F578" s="57"/>
      <c r="G578" s="57"/>
      <c r="H578" s="57"/>
      <c r="I578" s="57"/>
    </row>
    <row r="579">
      <c r="E579" s="57"/>
      <c r="F579" s="57"/>
      <c r="G579" s="57"/>
      <c r="H579" s="57"/>
      <c r="I579" s="57"/>
    </row>
    <row r="580">
      <c r="E580" s="57"/>
      <c r="F580" s="57"/>
      <c r="G580" s="57"/>
      <c r="H580" s="57"/>
      <c r="I580" s="57"/>
    </row>
    <row r="581">
      <c r="E581" s="57"/>
      <c r="F581" s="57"/>
      <c r="G581" s="57"/>
      <c r="H581" s="57"/>
      <c r="I581" s="57"/>
    </row>
    <row r="582">
      <c r="E582" s="57"/>
      <c r="F582" s="57"/>
      <c r="G582" s="57"/>
      <c r="H582" s="57"/>
      <c r="I582" s="57"/>
    </row>
    <row r="583">
      <c r="E583" s="57"/>
      <c r="F583" s="57"/>
      <c r="G583" s="57"/>
      <c r="H583" s="57"/>
      <c r="I583" s="57"/>
    </row>
    <row r="584">
      <c r="E584" s="57"/>
      <c r="F584" s="57"/>
      <c r="G584" s="57"/>
      <c r="H584" s="57"/>
      <c r="I584" s="57"/>
    </row>
    <row r="585">
      <c r="E585" s="57"/>
      <c r="F585" s="57"/>
      <c r="G585" s="57"/>
      <c r="H585" s="57"/>
      <c r="I585" s="57"/>
    </row>
    <row r="586">
      <c r="E586" s="57"/>
      <c r="F586" s="57"/>
      <c r="G586" s="57"/>
      <c r="H586" s="57"/>
      <c r="I586" s="57"/>
    </row>
    <row r="587">
      <c r="E587" s="57"/>
      <c r="F587" s="57"/>
      <c r="G587" s="57"/>
      <c r="H587" s="57"/>
      <c r="I587" s="57"/>
    </row>
    <row r="588">
      <c r="E588" s="57"/>
      <c r="F588" s="57"/>
      <c r="G588" s="57"/>
      <c r="H588" s="57"/>
      <c r="I588" s="57"/>
    </row>
    <row r="589">
      <c r="E589" s="57"/>
      <c r="F589" s="57"/>
      <c r="G589" s="57"/>
      <c r="H589" s="57"/>
      <c r="I589" s="57"/>
    </row>
    <row r="590">
      <c r="E590" s="57"/>
      <c r="F590" s="57"/>
      <c r="G590" s="57"/>
      <c r="H590" s="57"/>
      <c r="I590" s="57"/>
    </row>
    <row r="591">
      <c r="E591" s="57"/>
      <c r="F591" s="57"/>
      <c r="G591" s="57"/>
      <c r="H591" s="57"/>
      <c r="I591" s="57"/>
    </row>
    <row r="592">
      <c r="E592" s="57"/>
      <c r="F592" s="57"/>
      <c r="G592" s="57"/>
      <c r="H592" s="57"/>
      <c r="I592" s="57"/>
    </row>
    <row r="593">
      <c r="E593" s="57"/>
      <c r="F593" s="57"/>
      <c r="G593" s="57"/>
      <c r="H593" s="57"/>
      <c r="I593" s="57"/>
    </row>
    <row r="594">
      <c r="E594" s="57"/>
      <c r="F594" s="57"/>
      <c r="G594" s="57"/>
      <c r="H594" s="57"/>
      <c r="I594" s="57"/>
    </row>
    <row r="595">
      <c r="E595" s="57"/>
      <c r="F595" s="57"/>
      <c r="G595" s="57"/>
      <c r="H595" s="57"/>
      <c r="I595" s="57"/>
    </row>
    <row r="596">
      <c r="E596" s="57"/>
      <c r="F596" s="57"/>
      <c r="G596" s="57"/>
      <c r="H596" s="57"/>
      <c r="I596" s="57"/>
    </row>
    <row r="597">
      <c r="E597" s="57"/>
      <c r="F597" s="57"/>
      <c r="G597" s="57"/>
      <c r="H597" s="57"/>
      <c r="I597" s="57"/>
    </row>
    <row r="598">
      <c r="E598" s="57"/>
      <c r="F598" s="57"/>
      <c r="G598" s="57"/>
      <c r="H598" s="57"/>
      <c r="I598" s="57"/>
    </row>
    <row r="599">
      <c r="E599" s="57"/>
      <c r="F599" s="57"/>
      <c r="G599" s="57"/>
      <c r="H599" s="57"/>
      <c r="I599" s="57"/>
    </row>
    <row r="600">
      <c r="E600" s="57"/>
      <c r="F600" s="57"/>
      <c r="G600" s="57"/>
      <c r="H600" s="57"/>
      <c r="I600" s="57"/>
    </row>
    <row r="601">
      <c r="E601" s="57"/>
      <c r="F601" s="57"/>
      <c r="G601" s="57"/>
      <c r="H601" s="57"/>
      <c r="I601" s="57"/>
    </row>
    <row r="602">
      <c r="E602" s="57"/>
      <c r="F602" s="57"/>
      <c r="G602" s="57"/>
      <c r="H602" s="57"/>
      <c r="I602" s="57"/>
    </row>
    <row r="603">
      <c r="E603" s="57"/>
      <c r="F603" s="57"/>
      <c r="G603" s="57"/>
      <c r="H603" s="57"/>
      <c r="I603" s="57"/>
    </row>
    <row r="604">
      <c r="E604" s="57"/>
      <c r="F604" s="57"/>
      <c r="G604" s="57"/>
      <c r="H604" s="57"/>
      <c r="I604" s="57"/>
    </row>
    <row r="605">
      <c r="E605" s="57"/>
      <c r="F605" s="57"/>
      <c r="G605" s="57"/>
      <c r="H605" s="57"/>
      <c r="I605" s="57"/>
    </row>
    <row r="606">
      <c r="E606" s="57"/>
      <c r="F606" s="57"/>
      <c r="G606" s="57"/>
      <c r="H606" s="57"/>
      <c r="I606" s="57"/>
    </row>
    <row r="607">
      <c r="E607" s="57"/>
      <c r="F607" s="57"/>
      <c r="G607" s="57"/>
      <c r="H607" s="57"/>
      <c r="I607" s="57"/>
    </row>
    <row r="608">
      <c r="E608" s="57"/>
      <c r="F608" s="57"/>
      <c r="G608" s="57"/>
      <c r="H608" s="57"/>
      <c r="I608" s="57"/>
    </row>
    <row r="609">
      <c r="E609" s="57"/>
      <c r="F609" s="57"/>
      <c r="G609" s="57"/>
      <c r="H609" s="57"/>
      <c r="I609" s="57"/>
    </row>
    <row r="610">
      <c r="E610" s="57"/>
      <c r="F610" s="57"/>
      <c r="G610" s="57"/>
      <c r="H610" s="57"/>
      <c r="I610" s="57"/>
    </row>
    <row r="611">
      <c r="E611" s="57"/>
      <c r="F611" s="57"/>
      <c r="G611" s="57"/>
      <c r="H611" s="57"/>
      <c r="I611" s="57"/>
    </row>
    <row r="612">
      <c r="E612" s="57"/>
      <c r="F612" s="57"/>
      <c r="G612" s="57"/>
      <c r="H612" s="57"/>
      <c r="I612" s="57"/>
    </row>
    <row r="613">
      <c r="E613" s="57"/>
      <c r="F613" s="57"/>
      <c r="G613" s="57"/>
      <c r="H613" s="57"/>
      <c r="I613" s="57"/>
    </row>
    <row r="614">
      <c r="E614" s="57"/>
      <c r="F614" s="57"/>
      <c r="G614" s="57"/>
      <c r="H614" s="57"/>
      <c r="I614" s="57"/>
    </row>
    <row r="615">
      <c r="E615" s="57"/>
      <c r="F615" s="57"/>
      <c r="G615" s="57"/>
      <c r="H615" s="57"/>
      <c r="I615" s="57"/>
    </row>
    <row r="616">
      <c r="E616" s="57"/>
      <c r="F616" s="57"/>
      <c r="G616" s="57"/>
      <c r="H616" s="57"/>
      <c r="I616" s="57"/>
    </row>
    <row r="617">
      <c r="E617" s="57"/>
      <c r="F617" s="57"/>
      <c r="G617" s="57"/>
      <c r="H617" s="57"/>
      <c r="I617" s="57"/>
    </row>
    <row r="618">
      <c r="E618" s="57"/>
      <c r="F618" s="57"/>
      <c r="G618" s="57"/>
      <c r="H618" s="57"/>
      <c r="I618" s="57"/>
    </row>
    <row r="619">
      <c r="E619" s="57"/>
      <c r="F619" s="57"/>
      <c r="G619" s="57"/>
      <c r="H619" s="57"/>
      <c r="I619" s="57"/>
    </row>
    <row r="620">
      <c r="E620" s="57"/>
      <c r="F620" s="57"/>
      <c r="G620" s="57"/>
      <c r="H620" s="57"/>
      <c r="I620" s="57"/>
    </row>
    <row r="621">
      <c r="E621" s="57"/>
      <c r="F621" s="57"/>
      <c r="G621" s="57"/>
      <c r="H621" s="57"/>
      <c r="I621" s="57"/>
    </row>
    <row r="622">
      <c r="E622" s="57"/>
      <c r="F622" s="57"/>
      <c r="G622" s="57"/>
      <c r="H622" s="57"/>
      <c r="I622" s="57"/>
    </row>
    <row r="623">
      <c r="E623" s="57"/>
      <c r="F623" s="57"/>
      <c r="G623" s="57"/>
      <c r="H623" s="57"/>
      <c r="I623" s="57"/>
    </row>
    <row r="624">
      <c r="E624" s="57"/>
      <c r="F624" s="57"/>
      <c r="G624" s="57"/>
      <c r="H624" s="57"/>
      <c r="I624" s="57"/>
    </row>
    <row r="625">
      <c r="E625" s="57"/>
      <c r="F625" s="57"/>
      <c r="G625" s="57"/>
      <c r="H625" s="57"/>
      <c r="I625" s="57"/>
    </row>
    <row r="626">
      <c r="E626" s="57"/>
      <c r="F626" s="57"/>
      <c r="G626" s="57"/>
      <c r="H626" s="57"/>
      <c r="I626" s="57"/>
    </row>
    <row r="627">
      <c r="E627" s="57"/>
      <c r="F627" s="57"/>
      <c r="G627" s="57"/>
      <c r="H627" s="57"/>
      <c r="I627" s="57"/>
    </row>
    <row r="628">
      <c r="E628" s="57"/>
      <c r="F628" s="57"/>
      <c r="G628" s="57"/>
      <c r="H628" s="57"/>
      <c r="I628" s="57"/>
    </row>
    <row r="629">
      <c r="E629" s="57"/>
      <c r="F629" s="57"/>
      <c r="G629" s="57"/>
      <c r="H629" s="57"/>
      <c r="I629" s="57"/>
    </row>
    <row r="630">
      <c r="E630" s="57"/>
      <c r="F630" s="57"/>
      <c r="G630" s="57"/>
      <c r="H630" s="57"/>
      <c r="I630" s="57"/>
    </row>
    <row r="631">
      <c r="E631" s="57"/>
      <c r="F631" s="57"/>
      <c r="G631" s="57"/>
      <c r="H631" s="57"/>
      <c r="I631" s="57"/>
    </row>
    <row r="632">
      <c r="E632" s="57"/>
      <c r="F632" s="57"/>
      <c r="G632" s="57"/>
      <c r="H632" s="57"/>
      <c r="I632" s="57"/>
    </row>
    <row r="633">
      <c r="E633" s="57"/>
      <c r="F633" s="57"/>
      <c r="G633" s="57"/>
      <c r="H633" s="57"/>
      <c r="I633" s="57"/>
    </row>
    <row r="634">
      <c r="E634" s="57"/>
      <c r="F634" s="57"/>
      <c r="G634" s="57"/>
      <c r="H634" s="57"/>
      <c r="I634" s="57"/>
    </row>
    <row r="635">
      <c r="E635" s="57"/>
      <c r="F635" s="57"/>
      <c r="G635" s="57"/>
      <c r="H635" s="57"/>
      <c r="I635" s="57"/>
    </row>
    <row r="636">
      <c r="E636" s="57"/>
      <c r="F636" s="57"/>
      <c r="G636" s="57"/>
      <c r="H636" s="57"/>
      <c r="I636" s="57"/>
    </row>
    <row r="637">
      <c r="E637" s="57"/>
      <c r="F637" s="57"/>
      <c r="G637" s="57"/>
      <c r="H637" s="57"/>
      <c r="I637" s="57"/>
    </row>
    <row r="638">
      <c r="E638" s="57"/>
      <c r="F638" s="57"/>
      <c r="G638" s="57"/>
      <c r="H638" s="57"/>
      <c r="I638" s="57"/>
    </row>
    <row r="639">
      <c r="E639" s="57"/>
      <c r="F639" s="57"/>
      <c r="G639" s="57"/>
      <c r="H639" s="57"/>
      <c r="I639" s="57"/>
    </row>
    <row r="640">
      <c r="E640" s="57"/>
      <c r="F640" s="57"/>
      <c r="G640" s="57"/>
      <c r="H640" s="57"/>
      <c r="I640" s="57"/>
    </row>
    <row r="641">
      <c r="E641" s="57"/>
      <c r="F641" s="57"/>
      <c r="G641" s="57"/>
      <c r="H641" s="57"/>
      <c r="I641" s="57"/>
    </row>
    <row r="642">
      <c r="E642" s="57"/>
      <c r="F642" s="57"/>
      <c r="G642" s="57"/>
      <c r="H642" s="57"/>
      <c r="I642" s="57"/>
    </row>
    <row r="643">
      <c r="E643" s="57"/>
      <c r="F643" s="57"/>
      <c r="G643" s="57"/>
      <c r="H643" s="57"/>
      <c r="I643" s="57"/>
    </row>
    <row r="644">
      <c r="E644" s="57"/>
      <c r="F644" s="57"/>
      <c r="G644" s="57"/>
      <c r="H644" s="57"/>
      <c r="I644" s="57"/>
    </row>
    <row r="645">
      <c r="E645" s="57"/>
      <c r="F645" s="57"/>
      <c r="G645" s="57"/>
      <c r="H645" s="57"/>
      <c r="I645" s="57"/>
    </row>
    <row r="646">
      <c r="E646" s="57"/>
      <c r="F646" s="57"/>
      <c r="G646" s="57"/>
      <c r="H646" s="57"/>
      <c r="I646" s="57"/>
    </row>
    <row r="647">
      <c r="E647" s="57"/>
      <c r="F647" s="57"/>
      <c r="G647" s="57"/>
      <c r="H647" s="57"/>
      <c r="I647" s="57"/>
    </row>
    <row r="648">
      <c r="E648" s="57"/>
      <c r="F648" s="57"/>
      <c r="G648" s="57"/>
      <c r="H648" s="57"/>
      <c r="I648" s="57"/>
    </row>
    <row r="649">
      <c r="E649" s="57"/>
      <c r="F649" s="57"/>
      <c r="G649" s="57"/>
      <c r="H649" s="57"/>
      <c r="I649" s="57"/>
    </row>
    <row r="650">
      <c r="E650" s="57"/>
      <c r="F650" s="57"/>
      <c r="G650" s="57"/>
      <c r="H650" s="57"/>
      <c r="I650" s="57"/>
    </row>
    <row r="651">
      <c r="E651" s="57"/>
      <c r="F651" s="57"/>
      <c r="G651" s="57"/>
      <c r="H651" s="57"/>
      <c r="I651" s="57"/>
    </row>
    <row r="652">
      <c r="E652" s="57"/>
      <c r="F652" s="57"/>
      <c r="G652" s="57"/>
      <c r="H652" s="57"/>
      <c r="I652" s="57"/>
    </row>
    <row r="653">
      <c r="E653" s="57"/>
      <c r="F653" s="57"/>
      <c r="G653" s="57"/>
      <c r="H653" s="57"/>
      <c r="I653" s="57"/>
    </row>
    <row r="654">
      <c r="E654" s="57"/>
      <c r="F654" s="57"/>
      <c r="G654" s="57"/>
      <c r="H654" s="57"/>
      <c r="I654" s="57"/>
    </row>
    <row r="655">
      <c r="E655" s="57"/>
      <c r="F655" s="57"/>
      <c r="G655" s="57"/>
      <c r="H655" s="57"/>
      <c r="I655" s="57"/>
    </row>
    <row r="656">
      <c r="E656" s="57"/>
      <c r="F656" s="57"/>
      <c r="G656" s="57"/>
      <c r="H656" s="57"/>
      <c r="I656" s="57"/>
    </row>
    <row r="657">
      <c r="E657" s="57"/>
      <c r="F657" s="57"/>
      <c r="G657" s="57"/>
      <c r="H657" s="57"/>
      <c r="I657" s="57"/>
    </row>
    <row r="658">
      <c r="E658" s="57"/>
      <c r="F658" s="57"/>
      <c r="G658" s="57"/>
      <c r="H658" s="57"/>
      <c r="I658" s="57"/>
    </row>
    <row r="659">
      <c r="E659" s="57"/>
      <c r="F659" s="57"/>
      <c r="G659" s="57"/>
      <c r="H659" s="57"/>
      <c r="I659" s="57"/>
    </row>
    <row r="660">
      <c r="E660" s="57"/>
      <c r="F660" s="57"/>
      <c r="G660" s="57"/>
      <c r="H660" s="57"/>
      <c r="I660" s="57"/>
    </row>
    <row r="661">
      <c r="E661" s="57"/>
      <c r="F661" s="57"/>
      <c r="G661" s="57"/>
      <c r="H661" s="57"/>
      <c r="I661" s="57"/>
    </row>
    <row r="662">
      <c r="E662" s="57"/>
      <c r="F662" s="57"/>
      <c r="G662" s="57"/>
      <c r="H662" s="57"/>
      <c r="I662" s="57"/>
    </row>
    <row r="663">
      <c r="E663" s="57"/>
      <c r="F663" s="57"/>
      <c r="G663" s="57"/>
      <c r="H663" s="57"/>
      <c r="I663" s="57"/>
    </row>
    <row r="664">
      <c r="E664" s="57"/>
      <c r="F664" s="57"/>
      <c r="G664" s="57"/>
      <c r="H664" s="57"/>
      <c r="I664" s="57"/>
    </row>
    <row r="665">
      <c r="E665" s="57"/>
      <c r="F665" s="57"/>
      <c r="G665" s="57"/>
      <c r="H665" s="57"/>
      <c r="I665" s="57"/>
    </row>
    <row r="666">
      <c r="E666" s="57"/>
      <c r="F666" s="57"/>
      <c r="G666" s="57"/>
      <c r="H666" s="57"/>
      <c r="I666" s="57"/>
    </row>
    <row r="667">
      <c r="E667" s="57"/>
      <c r="F667" s="57"/>
      <c r="G667" s="57"/>
      <c r="H667" s="57"/>
      <c r="I667" s="57"/>
    </row>
    <row r="668">
      <c r="E668" s="57"/>
      <c r="F668" s="57"/>
      <c r="G668" s="57"/>
      <c r="H668" s="57"/>
      <c r="I668" s="57"/>
    </row>
    <row r="669">
      <c r="E669" s="57"/>
      <c r="F669" s="57"/>
      <c r="G669" s="57"/>
      <c r="H669" s="57"/>
      <c r="I669" s="57"/>
    </row>
    <row r="670">
      <c r="E670" s="57"/>
      <c r="F670" s="57"/>
      <c r="G670" s="57"/>
      <c r="H670" s="57"/>
      <c r="I670" s="57"/>
    </row>
    <row r="671">
      <c r="E671" s="57"/>
      <c r="F671" s="57"/>
      <c r="G671" s="57"/>
      <c r="H671" s="57"/>
      <c r="I671" s="57"/>
    </row>
    <row r="672">
      <c r="E672" s="57"/>
      <c r="F672" s="57"/>
      <c r="G672" s="57"/>
      <c r="H672" s="57"/>
      <c r="I672" s="57"/>
    </row>
    <row r="673">
      <c r="E673" s="57"/>
      <c r="F673" s="57"/>
      <c r="G673" s="57"/>
      <c r="H673" s="57"/>
      <c r="I673" s="57"/>
    </row>
    <row r="674">
      <c r="E674" s="57"/>
      <c r="F674" s="57"/>
      <c r="G674" s="57"/>
      <c r="H674" s="57"/>
      <c r="I674" s="57"/>
    </row>
    <row r="675">
      <c r="E675" s="57"/>
      <c r="F675" s="57"/>
      <c r="G675" s="57"/>
      <c r="H675" s="57"/>
      <c r="I675" s="57"/>
    </row>
    <row r="676">
      <c r="E676" s="57"/>
      <c r="F676" s="57"/>
      <c r="G676" s="57"/>
      <c r="H676" s="57"/>
      <c r="I676" s="57"/>
    </row>
    <row r="677">
      <c r="E677" s="57"/>
      <c r="F677" s="57"/>
      <c r="G677" s="57"/>
      <c r="H677" s="57"/>
      <c r="I677" s="57"/>
    </row>
    <row r="678">
      <c r="E678" s="57"/>
      <c r="F678" s="57"/>
      <c r="G678" s="57"/>
      <c r="H678" s="57"/>
      <c r="I678" s="57"/>
    </row>
    <row r="679">
      <c r="E679" s="57"/>
      <c r="F679" s="57"/>
      <c r="G679" s="57"/>
      <c r="H679" s="57"/>
      <c r="I679" s="57"/>
    </row>
    <row r="680">
      <c r="E680" s="57"/>
      <c r="F680" s="57"/>
      <c r="G680" s="57"/>
      <c r="H680" s="57"/>
      <c r="I680" s="57"/>
    </row>
    <row r="681">
      <c r="E681" s="57"/>
      <c r="F681" s="57"/>
      <c r="G681" s="57"/>
      <c r="H681" s="57"/>
      <c r="I681" s="57"/>
    </row>
    <row r="682">
      <c r="E682" s="57"/>
      <c r="F682" s="57"/>
      <c r="G682" s="57"/>
      <c r="H682" s="57"/>
      <c r="I682" s="57"/>
    </row>
    <row r="683">
      <c r="E683" s="57"/>
      <c r="F683" s="57"/>
      <c r="G683" s="57"/>
      <c r="H683" s="57"/>
      <c r="I683" s="57"/>
    </row>
    <row r="684">
      <c r="E684" s="57"/>
      <c r="F684" s="57"/>
      <c r="G684" s="57"/>
      <c r="H684" s="57"/>
      <c r="I684" s="57"/>
    </row>
    <row r="685">
      <c r="E685" s="57"/>
      <c r="F685" s="57"/>
      <c r="G685" s="57"/>
      <c r="H685" s="57"/>
      <c r="I685" s="57"/>
    </row>
    <row r="686">
      <c r="E686" s="57"/>
      <c r="F686" s="57"/>
      <c r="G686" s="57"/>
      <c r="H686" s="57"/>
      <c r="I686" s="57"/>
    </row>
    <row r="687">
      <c r="E687" s="57"/>
      <c r="F687" s="57"/>
      <c r="G687" s="57"/>
      <c r="H687" s="57"/>
      <c r="I687" s="57"/>
    </row>
    <row r="688">
      <c r="E688" s="57"/>
      <c r="F688" s="57"/>
      <c r="G688" s="57"/>
      <c r="H688" s="57"/>
      <c r="I688" s="57"/>
    </row>
    <row r="689">
      <c r="E689" s="57"/>
      <c r="F689" s="57"/>
      <c r="G689" s="57"/>
      <c r="H689" s="57"/>
      <c r="I689" s="57"/>
    </row>
    <row r="690">
      <c r="E690" s="57"/>
      <c r="F690" s="57"/>
      <c r="G690" s="57"/>
      <c r="H690" s="57"/>
      <c r="I690" s="57"/>
    </row>
    <row r="691">
      <c r="E691" s="57"/>
      <c r="F691" s="57"/>
      <c r="G691" s="57"/>
      <c r="H691" s="57"/>
      <c r="I691" s="57"/>
    </row>
    <row r="692">
      <c r="E692" s="57"/>
      <c r="F692" s="57"/>
      <c r="G692" s="57"/>
      <c r="H692" s="57"/>
      <c r="I692" s="57"/>
    </row>
    <row r="693">
      <c r="E693" s="57"/>
      <c r="F693" s="57"/>
      <c r="G693" s="57"/>
      <c r="H693" s="57"/>
      <c r="I693" s="57"/>
    </row>
    <row r="694">
      <c r="E694" s="57"/>
      <c r="F694" s="57"/>
      <c r="G694" s="57"/>
      <c r="H694" s="57"/>
      <c r="I694" s="57"/>
    </row>
    <row r="695">
      <c r="E695" s="57"/>
      <c r="F695" s="57"/>
      <c r="G695" s="57"/>
      <c r="H695" s="57"/>
      <c r="I695" s="57"/>
    </row>
    <row r="696">
      <c r="E696" s="57"/>
      <c r="F696" s="57"/>
      <c r="G696" s="57"/>
      <c r="H696" s="57"/>
      <c r="I696" s="57"/>
    </row>
    <row r="697">
      <c r="E697" s="57"/>
      <c r="F697" s="57"/>
      <c r="G697" s="57"/>
      <c r="H697" s="57"/>
      <c r="I697" s="57"/>
    </row>
    <row r="698">
      <c r="E698" s="57"/>
      <c r="F698" s="57"/>
      <c r="G698" s="57"/>
      <c r="H698" s="57"/>
      <c r="I698" s="57"/>
    </row>
    <row r="699">
      <c r="E699" s="57"/>
      <c r="F699" s="57"/>
      <c r="G699" s="57"/>
      <c r="H699" s="57"/>
      <c r="I699" s="57"/>
    </row>
    <row r="700">
      <c r="E700" s="57"/>
      <c r="F700" s="57"/>
      <c r="G700" s="57"/>
      <c r="H700" s="57"/>
      <c r="I700" s="57"/>
    </row>
    <row r="701">
      <c r="E701" s="57"/>
      <c r="F701" s="57"/>
      <c r="G701" s="57"/>
      <c r="H701" s="57"/>
      <c r="I701" s="57"/>
    </row>
    <row r="702">
      <c r="E702" s="57"/>
      <c r="F702" s="57"/>
      <c r="G702" s="57"/>
      <c r="H702" s="57"/>
      <c r="I702" s="57"/>
    </row>
    <row r="703">
      <c r="E703" s="57"/>
      <c r="F703" s="57"/>
      <c r="G703" s="57"/>
      <c r="H703" s="57"/>
      <c r="I703" s="57"/>
    </row>
    <row r="704">
      <c r="E704" s="57"/>
      <c r="F704" s="57"/>
      <c r="G704" s="57"/>
      <c r="H704" s="57"/>
      <c r="I704" s="57"/>
    </row>
    <row r="705">
      <c r="E705" s="57"/>
      <c r="F705" s="57"/>
      <c r="G705" s="57"/>
      <c r="H705" s="57"/>
      <c r="I705" s="57"/>
    </row>
    <row r="706">
      <c r="E706" s="57"/>
      <c r="F706" s="57"/>
      <c r="G706" s="57"/>
      <c r="H706" s="57"/>
      <c r="I706" s="57"/>
    </row>
    <row r="707">
      <c r="E707" s="57"/>
      <c r="F707" s="57"/>
      <c r="G707" s="57"/>
      <c r="H707" s="57"/>
      <c r="I707" s="57"/>
    </row>
    <row r="708">
      <c r="E708" s="57"/>
      <c r="F708" s="57"/>
      <c r="G708" s="57"/>
      <c r="H708" s="57"/>
      <c r="I708" s="57"/>
    </row>
    <row r="709">
      <c r="E709" s="57"/>
      <c r="F709" s="57"/>
      <c r="G709" s="57"/>
      <c r="H709" s="57"/>
      <c r="I709" s="57"/>
    </row>
    <row r="710">
      <c r="E710" s="57"/>
      <c r="F710" s="57"/>
      <c r="G710" s="57"/>
      <c r="H710" s="57"/>
      <c r="I710" s="57"/>
    </row>
    <row r="711">
      <c r="E711" s="57"/>
      <c r="F711" s="57"/>
      <c r="G711" s="57"/>
      <c r="H711" s="57"/>
      <c r="I711" s="57"/>
    </row>
    <row r="712">
      <c r="E712" s="57"/>
      <c r="F712" s="57"/>
      <c r="G712" s="57"/>
      <c r="H712" s="57"/>
      <c r="I712" s="57"/>
    </row>
    <row r="713">
      <c r="E713" s="57"/>
      <c r="F713" s="57"/>
      <c r="G713" s="57"/>
      <c r="H713" s="57"/>
      <c r="I713" s="57"/>
    </row>
    <row r="714">
      <c r="E714" s="57"/>
      <c r="F714" s="57"/>
      <c r="G714" s="57"/>
      <c r="H714" s="57"/>
      <c r="I714" s="57"/>
    </row>
    <row r="715">
      <c r="E715" s="57"/>
      <c r="F715" s="57"/>
      <c r="G715" s="57"/>
      <c r="H715" s="57"/>
      <c r="I715" s="57"/>
    </row>
    <row r="716">
      <c r="E716" s="57"/>
      <c r="F716" s="57"/>
      <c r="G716" s="57"/>
      <c r="H716" s="57"/>
      <c r="I716" s="57"/>
    </row>
    <row r="717">
      <c r="E717" s="57"/>
      <c r="F717" s="57"/>
      <c r="G717" s="57"/>
      <c r="H717" s="57"/>
      <c r="I717" s="57"/>
    </row>
    <row r="718">
      <c r="E718" s="57"/>
      <c r="F718" s="57"/>
      <c r="G718" s="57"/>
      <c r="H718" s="57"/>
      <c r="I718" s="57"/>
    </row>
    <row r="719">
      <c r="E719" s="57"/>
      <c r="F719" s="57"/>
      <c r="G719" s="57"/>
      <c r="H719" s="57"/>
      <c r="I719" s="57"/>
    </row>
    <row r="720">
      <c r="E720" s="57"/>
      <c r="F720" s="57"/>
      <c r="G720" s="57"/>
      <c r="H720" s="57"/>
      <c r="I720" s="57"/>
    </row>
    <row r="721">
      <c r="E721" s="57"/>
      <c r="F721" s="57"/>
      <c r="G721" s="57"/>
      <c r="H721" s="57"/>
      <c r="I721" s="57"/>
    </row>
    <row r="722">
      <c r="E722" s="57"/>
      <c r="F722" s="57"/>
      <c r="G722" s="57"/>
      <c r="H722" s="57"/>
      <c r="I722" s="57"/>
    </row>
    <row r="723">
      <c r="E723" s="57"/>
      <c r="F723" s="57"/>
      <c r="G723" s="57"/>
      <c r="H723" s="57"/>
      <c r="I723" s="57"/>
    </row>
    <row r="724">
      <c r="E724" s="57"/>
      <c r="F724" s="57"/>
      <c r="G724" s="57"/>
      <c r="H724" s="57"/>
      <c r="I724" s="57"/>
    </row>
    <row r="725">
      <c r="E725" s="57"/>
      <c r="F725" s="57"/>
      <c r="G725" s="57"/>
      <c r="H725" s="57"/>
      <c r="I725" s="57"/>
    </row>
    <row r="726">
      <c r="E726" s="57"/>
      <c r="F726" s="57"/>
      <c r="G726" s="57"/>
      <c r="H726" s="57"/>
      <c r="I726" s="57"/>
    </row>
    <row r="727">
      <c r="E727" s="57"/>
      <c r="F727" s="57"/>
      <c r="G727" s="57"/>
      <c r="H727" s="57"/>
      <c r="I727" s="57"/>
    </row>
    <row r="728">
      <c r="E728" s="57"/>
      <c r="F728" s="57"/>
      <c r="G728" s="57"/>
      <c r="H728" s="57"/>
      <c r="I728" s="57"/>
    </row>
    <row r="729">
      <c r="E729" s="57"/>
      <c r="F729" s="57"/>
      <c r="G729" s="57"/>
      <c r="H729" s="57"/>
      <c r="I729" s="57"/>
    </row>
    <row r="730">
      <c r="E730" s="57"/>
      <c r="F730" s="57"/>
      <c r="G730" s="57"/>
      <c r="H730" s="57"/>
      <c r="I730" s="57"/>
    </row>
    <row r="731">
      <c r="E731" s="57"/>
      <c r="F731" s="57"/>
      <c r="G731" s="57"/>
      <c r="H731" s="57"/>
      <c r="I731" s="57"/>
    </row>
    <row r="732">
      <c r="E732" s="57"/>
      <c r="F732" s="57"/>
      <c r="G732" s="57"/>
      <c r="H732" s="57"/>
      <c r="I732" s="57"/>
    </row>
    <row r="733">
      <c r="E733" s="57"/>
      <c r="F733" s="57"/>
      <c r="G733" s="57"/>
      <c r="H733" s="57"/>
      <c r="I733" s="57"/>
    </row>
    <row r="734">
      <c r="E734" s="57"/>
      <c r="F734" s="57"/>
      <c r="G734" s="57"/>
      <c r="H734" s="57"/>
      <c r="I734" s="57"/>
    </row>
    <row r="735">
      <c r="E735" s="57"/>
      <c r="F735" s="57"/>
      <c r="G735" s="57"/>
      <c r="H735" s="57"/>
      <c r="I735" s="57"/>
    </row>
    <row r="736">
      <c r="E736" s="57"/>
      <c r="F736" s="57"/>
      <c r="G736" s="57"/>
      <c r="H736" s="57"/>
      <c r="I736" s="57"/>
    </row>
    <row r="737">
      <c r="E737" s="57"/>
      <c r="F737" s="57"/>
      <c r="G737" s="57"/>
      <c r="H737" s="57"/>
      <c r="I737" s="57"/>
    </row>
    <row r="738">
      <c r="E738" s="57"/>
      <c r="F738" s="57"/>
      <c r="G738" s="57"/>
      <c r="H738" s="57"/>
      <c r="I738" s="57"/>
    </row>
    <row r="739">
      <c r="E739" s="57"/>
      <c r="F739" s="57"/>
      <c r="G739" s="57"/>
      <c r="H739" s="57"/>
      <c r="I739" s="57"/>
    </row>
    <row r="740">
      <c r="E740" s="57"/>
      <c r="F740" s="57"/>
      <c r="G740" s="57"/>
      <c r="H740" s="57"/>
      <c r="I740" s="57"/>
    </row>
    <row r="741">
      <c r="E741" s="57"/>
      <c r="F741" s="57"/>
      <c r="G741" s="57"/>
      <c r="H741" s="57"/>
      <c r="I741" s="57"/>
    </row>
    <row r="742">
      <c r="E742" s="57"/>
      <c r="F742" s="57"/>
      <c r="G742" s="57"/>
      <c r="H742" s="57"/>
      <c r="I742" s="57"/>
    </row>
    <row r="743">
      <c r="E743" s="57"/>
      <c r="F743" s="57"/>
      <c r="G743" s="57"/>
      <c r="H743" s="57"/>
      <c r="I743" s="57"/>
    </row>
    <row r="744">
      <c r="E744" s="57"/>
      <c r="F744" s="57"/>
      <c r="G744" s="57"/>
      <c r="H744" s="57"/>
      <c r="I744" s="57"/>
    </row>
    <row r="745">
      <c r="E745" s="57"/>
      <c r="F745" s="57"/>
      <c r="G745" s="57"/>
      <c r="H745" s="57"/>
      <c r="I745" s="57"/>
    </row>
    <row r="746">
      <c r="E746" s="57"/>
      <c r="F746" s="57"/>
      <c r="G746" s="57"/>
      <c r="H746" s="57"/>
      <c r="I746" s="57"/>
    </row>
    <row r="747">
      <c r="E747" s="57"/>
      <c r="F747" s="57"/>
      <c r="G747" s="57"/>
      <c r="H747" s="57"/>
      <c r="I747" s="57"/>
    </row>
    <row r="748">
      <c r="E748" s="57"/>
      <c r="F748" s="57"/>
      <c r="G748" s="57"/>
      <c r="H748" s="57"/>
      <c r="I748" s="57"/>
    </row>
    <row r="749">
      <c r="E749" s="57"/>
      <c r="F749" s="57"/>
      <c r="G749" s="57"/>
      <c r="H749" s="57"/>
      <c r="I749" s="57"/>
    </row>
    <row r="750">
      <c r="E750" s="57"/>
      <c r="F750" s="57"/>
      <c r="G750" s="57"/>
      <c r="H750" s="57"/>
      <c r="I750" s="57"/>
    </row>
    <row r="751">
      <c r="E751" s="57"/>
      <c r="F751" s="57"/>
      <c r="G751" s="57"/>
      <c r="H751" s="57"/>
      <c r="I751" s="57"/>
    </row>
    <row r="752">
      <c r="E752" s="57"/>
      <c r="F752" s="57"/>
      <c r="G752" s="57"/>
      <c r="H752" s="57"/>
      <c r="I752" s="57"/>
    </row>
    <row r="753">
      <c r="E753" s="57"/>
      <c r="F753" s="57"/>
      <c r="G753" s="57"/>
      <c r="H753" s="57"/>
      <c r="I753" s="57"/>
    </row>
    <row r="754">
      <c r="E754" s="57"/>
      <c r="F754" s="57"/>
      <c r="G754" s="57"/>
      <c r="H754" s="57"/>
      <c r="I754" s="57"/>
    </row>
    <row r="755">
      <c r="E755" s="57"/>
      <c r="F755" s="57"/>
      <c r="G755" s="57"/>
      <c r="H755" s="57"/>
      <c r="I755" s="57"/>
    </row>
    <row r="756">
      <c r="E756" s="57"/>
      <c r="F756" s="57"/>
      <c r="G756" s="57"/>
      <c r="H756" s="57"/>
      <c r="I756" s="57"/>
    </row>
    <row r="757">
      <c r="E757" s="57"/>
      <c r="F757" s="57"/>
      <c r="G757" s="57"/>
      <c r="H757" s="57"/>
      <c r="I757" s="57"/>
    </row>
    <row r="758">
      <c r="E758" s="57"/>
      <c r="F758" s="57"/>
      <c r="G758" s="57"/>
      <c r="H758" s="57"/>
      <c r="I758" s="57"/>
    </row>
    <row r="759">
      <c r="E759" s="57"/>
      <c r="F759" s="57"/>
      <c r="G759" s="57"/>
      <c r="H759" s="57"/>
      <c r="I759" s="57"/>
    </row>
    <row r="760">
      <c r="E760" s="57"/>
      <c r="F760" s="57"/>
      <c r="G760" s="57"/>
      <c r="H760" s="57"/>
      <c r="I760" s="57"/>
    </row>
    <row r="761">
      <c r="E761" s="57"/>
      <c r="F761" s="57"/>
      <c r="G761" s="57"/>
      <c r="H761" s="57"/>
      <c r="I761" s="57"/>
    </row>
    <row r="762">
      <c r="E762" s="57"/>
      <c r="F762" s="57"/>
      <c r="G762" s="57"/>
      <c r="H762" s="57"/>
      <c r="I762" s="57"/>
    </row>
    <row r="763">
      <c r="E763" s="57"/>
      <c r="F763" s="57"/>
      <c r="G763" s="57"/>
      <c r="H763" s="57"/>
      <c r="I763" s="57"/>
    </row>
    <row r="764">
      <c r="E764" s="57"/>
      <c r="F764" s="57"/>
      <c r="G764" s="57"/>
      <c r="H764" s="57"/>
      <c r="I764" s="57"/>
    </row>
    <row r="765">
      <c r="E765" s="57"/>
      <c r="F765" s="57"/>
      <c r="G765" s="57"/>
      <c r="H765" s="57"/>
      <c r="I765" s="57"/>
    </row>
    <row r="766">
      <c r="E766" s="57"/>
      <c r="F766" s="57"/>
      <c r="G766" s="57"/>
      <c r="H766" s="57"/>
      <c r="I766" s="57"/>
    </row>
    <row r="767">
      <c r="E767" s="57"/>
      <c r="F767" s="57"/>
      <c r="G767" s="57"/>
      <c r="H767" s="57"/>
      <c r="I767" s="57"/>
    </row>
    <row r="768">
      <c r="E768" s="57"/>
      <c r="F768" s="57"/>
      <c r="G768" s="57"/>
      <c r="H768" s="57"/>
      <c r="I768" s="57"/>
    </row>
    <row r="769">
      <c r="E769" s="57"/>
      <c r="F769" s="57"/>
      <c r="G769" s="57"/>
      <c r="H769" s="57"/>
      <c r="I769" s="57"/>
    </row>
    <row r="770">
      <c r="E770" s="57"/>
      <c r="F770" s="57"/>
      <c r="G770" s="57"/>
      <c r="H770" s="57"/>
      <c r="I770" s="57"/>
    </row>
    <row r="771">
      <c r="E771" s="57"/>
      <c r="F771" s="57"/>
      <c r="G771" s="57"/>
      <c r="H771" s="57"/>
      <c r="I771" s="57"/>
    </row>
    <row r="772">
      <c r="E772" s="57"/>
      <c r="F772" s="57"/>
      <c r="G772" s="57"/>
      <c r="H772" s="57"/>
      <c r="I772" s="57"/>
    </row>
    <row r="773">
      <c r="E773" s="57"/>
      <c r="F773" s="57"/>
      <c r="G773" s="57"/>
      <c r="H773" s="57"/>
      <c r="I773" s="57"/>
    </row>
    <row r="774">
      <c r="E774" s="57"/>
      <c r="F774" s="57"/>
      <c r="G774" s="57"/>
      <c r="H774" s="57"/>
      <c r="I774" s="57"/>
    </row>
    <row r="775">
      <c r="E775" s="57"/>
      <c r="F775" s="57"/>
      <c r="G775" s="57"/>
      <c r="H775" s="57"/>
      <c r="I775" s="57"/>
    </row>
    <row r="776">
      <c r="E776" s="57"/>
      <c r="F776" s="57"/>
      <c r="G776" s="57"/>
      <c r="H776" s="57"/>
      <c r="I776" s="57"/>
    </row>
    <row r="777">
      <c r="E777" s="57"/>
      <c r="F777" s="57"/>
      <c r="G777" s="57"/>
      <c r="H777" s="57"/>
      <c r="I777" s="57"/>
    </row>
    <row r="778">
      <c r="E778" s="57"/>
      <c r="F778" s="57"/>
      <c r="G778" s="57"/>
      <c r="H778" s="57"/>
      <c r="I778" s="57"/>
    </row>
    <row r="779">
      <c r="E779" s="57"/>
      <c r="F779" s="57"/>
      <c r="G779" s="57"/>
      <c r="H779" s="57"/>
      <c r="I779" s="57"/>
    </row>
    <row r="780">
      <c r="E780" s="57"/>
      <c r="F780" s="57"/>
      <c r="G780" s="57"/>
      <c r="H780" s="57"/>
      <c r="I780" s="57"/>
    </row>
    <row r="781">
      <c r="E781" s="57"/>
      <c r="F781" s="57"/>
      <c r="G781" s="57"/>
      <c r="H781" s="57"/>
      <c r="I781" s="57"/>
    </row>
    <row r="782">
      <c r="E782" s="57"/>
      <c r="F782" s="57"/>
      <c r="G782" s="57"/>
      <c r="H782" s="57"/>
      <c r="I782" s="57"/>
    </row>
    <row r="783">
      <c r="E783" s="57"/>
      <c r="F783" s="57"/>
      <c r="G783" s="57"/>
      <c r="H783" s="57"/>
      <c r="I783" s="57"/>
    </row>
    <row r="784">
      <c r="E784" s="57"/>
      <c r="F784" s="57"/>
      <c r="G784" s="57"/>
      <c r="H784" s="57"/>
      <c r="I784" s="57"/>
    </row>
    <row r="785">
      <c r="E785" s="57"/>
      <c r="F785" s="57"/>
      <c r="G785" s="57"/>
      <c r="H785" s="57"/>
      <c r="I785" s="57"/>
    </row>
    <row r="786">
      <c r="E786" s="57"/>
      <c r="F786" s="57"/>
      <c r="G786" s="57"/>
      <c r="H786" s="57"/>
      <c r="I786" s="57"/>
    </row>
    <row r="787">
      <c r="E787" s="57"/>
      <c r="F787" s="57"/>
      <c r="G787" s="57"/>
      <c r="H787" s="57"/>
      <c r="I787" s="57"/>
    </row>
    <row r="788">
      <c r="E788" s="57"/>
      <c r="F788" s="57"/>
      <c r="G788" s="57"/>
      <c r="H788" s="57"/>
      <c r="I788" s="57"/>
    </row>
    <row r="789">
      <c r="E789" s="57"/>
      <c r="F789" s="57"/>
      <c r="G789" s="57"/>
      <c r="H789" s="57"/>
      <c r="I789" s="57"/>
    </row>
    <row r="790">
      <c r="E790" s="57"/>
      <c r="F790" s="57"/>
      <c r="G790" s="57"/>
      <c r="H790" s="57"/>
      <c r="I790" s="57"/>
    </row>
    <row r="791">
      <c r="E791" s="57"/>
      <c r="F791" s="57"/>
      <c r="G791" s="57"/>
      <c r="H791" s="57"/>
      <c r="I791" s="57"/>
    </row>
    <row r="792">
      <c r="E792" s="57"/>
      <c r="F792" s="57"/>
      <c r="G792" s="57"/>
      <c r="H792" s="57"/>
      <c r="I792" s="57"/>
    </row>
    <row r="793">
      <c r="E793" s="57"/>
      <c r="F793" s="57"/>
      <c r="G793" s="57"/>
      <c r="H793" s="57"/>
      <c r="I793" s="57"/>
    </row>
    <row r="794">
      <c r="E794" s="57"/>
      <c r="F794" s="57"/>
      <c r="G794" s="57"/>
      <c r="H794" s="57"/>
      <c r="I794" s="57"/>
    </row>
    <row r="795">
      <c r="E795" s="57"/>
      <c r="F795" s="57"/>
      <c r="G795" s="57"/>
      <c r="H795" s="57"/>
      <c r="I795" s="57"/>
    </row>
    <row r="796">
      <c r="E796" s="57"/>
      <c r="F796" s="57"/>
      <c r="G796" s="57"/>
      <c r="H796" s="57"/>
      <c r="I796" s="57"/>
    </row>
    <row r="797">
      <c r="E797" s="57"/>
      <c r="F797" s="57"/>
      <c r="G797" s="57"/>
      <c r="H797" s="57"/>
      <c r="I797" s="57"/>
    </row>
    <row r="798">
      <c r="E798" s="57"/>
      <c r="F798" s="57"/>
      <c r="G798" s="57"/>
      <c r="H798" s="57"/>
      <c r="I798" s="57"/>
    </row>
    <row r="799">
      <c r="E799" s="57"/>
      <c r="F799" s="57"/>
      <c r="G799" s="57"/>
      <c r="H799" s="57"/>
      <c r="I799" s="57"/>
    </row>
    <row r="800">
      <c r="E800" s="57"/>
      <c r="F800" s="57"/>
      <c r="G800" s="57"/>
      <c r="H800" s="57"/>
      <c r="I800" s="57"/>
    </row>
    <row r="801">
      <c r="E801" s="57"/>
      <c r="F801" s="57"/>
      <c r="G801" s="57"/>
      <c r="H801" s="57"/>
      <c r="I801" s="57"/>
    </row>
    <row r="802">
      <c r="E802" s="57"/>
      <c r="F802" s="57"/>
      <c r="G802" s="57"/>
      <c r="H802" s="57"/>
      <c r="I802" s="57"/>
    </row>
    <row r="803">
      <c r="E803" s="57"/>
      <c r="F803" s="57"/>
      <c r="G803" s="57"/>
      <c r="H803" s="57"/>
      <c r="I803" s="57"/>
    </row>
    <row r="804">
      <c r="E804" s="57"/>
      <c r="F804" s="57"/>
      <c r="G804" s="57"/>
      <c r="H804" s="57"/>
      <c r="I804" s="57"/>
    </row>
    <row r="805">
      <c r="E805" s="57"/>
      <c r="F805" s="57"/>
      <c r="G805" s="57"/>
      <c r="H805" s="57"/>
      <c r="I805" s="57"/>
    </row>
    <row r="806">
      <c r="E806" s="57"/>
      <c r="F806" s="57"/>
      <c r="G806" s="57"/>
      <c r="H806" s="57"/>
      <c r="I806" s="57"/>
    </row>
    <row r="807">
      <c r="E807" s="57"/>
      <c r="F807" s="57"/>
      <c r="G807" s="57"/>
      <c r="H807" s="57"/>
      <c r="I807" s="57"/>
    </row>
    <row r="808">
      <c r="E808" s="57"/>
      <c r="F808" s="57"/>
      <c r="G808" s="57"/>
      <c r="H808" s="57"/>
      <c r="I808" s="57"/>
    </row>
    <row r="809">
      <c r="E809" s="57"/>
      <c r="F809" s="57"/>
      <c r="G809" s="57"/>
      <c r="H809" s="57"/>
      <c r="I809" s="57"/>
    </row>
    <row r="810">
      <c r="E810" s="57"/>
      <c r="F810" s="57"/>
      <c r="G810" s="57"/>
      <c r="H810" s="57"/>
      <c r="I810" s="57"/>
    </row>
    <row r="811">
      <c r="E811" s="57"/>
      <c r="F811" s="57"/>
      <c r="G811" s="57"/>
      <c r="H811" s="57"/>
      <c r="I811" s="57"/>
    </row>
    <row r="812">
      <c r="E812" s="57"/>
      <c r="F812" s="57"/>
      <c r="G812" s="57"/>
      <c r="H812" s="57"/>
      <c r="I812" s="57"/>
    </row>
    <row r="813">
      <c r="E813" s="57"/>
      <c r="F813" s="57"/>
      <c r="G813" s="57"/>
      <c r="H813" s="57"/>
      <c r="I813" s="57"/>
    </row>
    <row r="814">
      <c r="E814" s="57"/>
      <c r="F814" s="57"/>
      <c r="G814" s="57"/>
      <c r="H814" s="57"/>
      <c r="I814" s="57"/>
    </row>
    <row r="815">
      <c r="E815" s="57"/>
      <c r="F815" s="57"/>
      <c r="G815" s="57"/>
      <c r="H815" s="57"/>
      <c r="I815" s="57"/>
    </row>
    <row r="816">
      <c r="E816" s="57"/>
      <c r="F816" s="57"/>
      <c r="G816" s="57"/>
      <c r="H816" s="57"/>
      <c r="I816" s="57"/>
    </row>
    <row r="817">
      <c r="E817" s="57"/>
      <c r="F817" s="57"/>
      <c r="G817" s="57"/>
      <c r="H817" s="57"/>
      <c r="I817" s="57"/>
    </row>
    <row r="818">
      <c r="E818" s="57"/>
      <c r="F818" s="57"/>
      <c r="G818" s="57"/>
      <c r="H818" s="57"/>
      <c r="I818" s="57"/>
    </row>
    <row r="819">
      <c r="E819" s="57"/>
      <c r="F819" s="57"/>
      <c r="G819" s="57"/>
      <c r="H819" s="57"/>
      <c r="I819" s="57"/>
    </row>
    <row r="820">
      <c r="E820" s="57"/>
      <c r="F820" s="57"/>
      <c r="G820" s="57"/>
      <c r="H820" s="57"/>
      <c r="I820" s="57"/>
    </row>
    <row r="821">
      <c r="E821" s="57"/>
      <c r="F821" s="57"/>
      <c r="G821" s="57"/>
      <c r="H821" s="57"/>
      <c r="I821" s="57"/>
    </row>
    <row r="822">
      <c r="E822" s="57"/>
      <c r="F822" s="57"/>
      <c r="G822" s="57"/>
      <c r="H822" s="57"/>
      <c r="I822" s="57"/>
    </row>
    <row r="823">
      <c r="E823" s="57"/>
      <c r="F823" s="57"/>
      <c r="G823" s="57"/>
      <c r="H823" s="57"/>
      <c r="I823" s="57"/>
    </row>
    <row r="824">
      <c r="E824" s="57"/>
      <c r="F824" s="57"/>
      <c r="G824" s="57"/>
      <c r="H824" s="57"/>
      <c r="I824" s="57"/>
    </row>
    <row r="825">
      <c r="E825" s="57"/>
      <c r="F825" s="57"/>
      <c r="G825" s="57"/>
      <c r="H825" s="57"/>
      <c r="I825" s="57"/>
    </row>
    <row r="826">
      <c r="E826" s="57"/>
      <c r="F826" s="57"/>
      <c r="G826" s="57"/>
      <c r="H826" s="57"/>
      <c r="I826" s="57"/>
    </row>
    <row r="827">
      <c r="E827" s="57"/>
      <c r="F827" s="57"/>
      <c r="G827" s="57"/>
      <c r="H827" s="57"/>
      <c r="I827" s="57"/>
    </row>
    <row r="828">
      <c r="E828" s="57"/>
      <c r="F828" s="57"/>
      <c r="G828" s="57"/>
      <c r="H828" s="57"/>
      <c r="I828" s="57"/>
    </row>
    <row r="829">
      <c r="E829" s="57"/>
      <c r="F829" s="57"/>
      <c r="G829" s="57"/>
      <c r="H829" s="57"/>
      <c r="I829" s="57"/>
    </row>
    <row r="830">
      <c r="E830" s="57"/>
      <c r="F830" s="57"/>
      <c r="G830" s="57"/>
      <c r="H830" s="57"/>
      <c r="I830" s="57"/>
    </row>
    <row r="831">
      <c r="E831" s="57"/>
      <c r="F831" s="57"/>
      <c r="G831" s="57"/>
      <c r="H831" s="57"/>
      <c r="I831" s="57"/>
    </row>
    <row r="832">
      <c r="E832" s="57"/>
      <c r="F832" s="57"/>
      <c r="G832" s="57"/>
      <c r="H832" s="57"/>
      <c r="I832" s="57"/>
    </row>
    <row r="833">
      <c r="E833" s="57"/>
      <c r="F833" s="57"/>
      <c r="G833" s="57"/>
      <c r="H833" s="57"/>
      <c r="I833" s="57"/>
    </row>
    <row r="834">
      <c r="E834" s="57"/>
      <c r="F834" s="57"/>
      <c r="G834" s="57"/>
      <c r="H834" s="57"/>
      <c r="I834" s="57"/>
    </row>
    <row r="835">
      <c r="E835" s="57"/>
      <c r="F835" s="57"/>
      <c r="G835" s="57"/>
      <c r="H835" s="57"/>
      <c r="I835" s="57"/>
    </row>
    <row r="836">
      <c r="E836" s="57"/>
      <c r="F836" s="57"/>
      <c r="G836" s="57"/>
      <c r="H836" s="57"/>
      <c r="I836" s="57"/>
    </row>
    <row r="837">
      <c r="E837" s="57"/>
      <c r="F837" s="57"/>
      <c r="G837" s="57"/>
      <c r="H837" s="57"/>
      <c r="I837" s="57"/>
    </row>
    <row r="838">
      <c r="E838" s="57"/>
      <c r="F838" s="57"/>
      <c r="G838" s="57"/>
      <c r="H838" s="57"/>
      <c r="I838" s="57"/>
    </row>
    <row r="839">
      <c r="E839" s="57"/>
      <c r="F839" s="57"/>
      <c r="G839" s="57"/>
      <c r="H839" s="57"/>
      <c r="I839" s="57"/>
    </row>
    <row r="840">
      <c r="E840" s="57"/>
      <c r="F840" s="57"/>
      <c r="G840" s="57"/>
      <c r="H840" s="57"/>
      <c r="I840" s="57"/>
    </row>
    <row r="841">
      <c r="E841" s="57"/>
      <c r="F841" s="57"/>
      <c r="G841" s="57"/>
      <c r="H841" s="57"/>
      <c r="I841" s="57"/>
    </row>
    <row r="842">
      <c r="E842" s="57"/>
      <c r="F842" s="57"/>
      <c r="G842" s="57"/>
      <c r="H842" s="57"/>
      <c r="I842" s="57"/>
    </row>
    <row r="843">
      <c r="E843" s="57"/>
      <c r="F843" s="57"/>
      <c r="G843" s="57"/>
      <c r="H843" s="57"/>
      <c r="I843" s="57"/>
    </row>
    <row r="844">
      <c r="E844" s="57"/>
      <c r="F844" s="57"/>
      <c r="G844" s="57"/>
      <c r="H844" s="57"/>
      <c r="I844" s="57"/>
    </row>
    <row r="845">
      <c r="E845" s="57"/>
      <c r="F845" s="57"/>
      <c r="G845" s="57"/>
      <c r="H845" s="57"/>
      <c r="I845" s="57"/>
    </row>
    <row r="846">
      <c r="E846" s="57"/>
      <c r="F846" s="57"/>
      <c r="G846" s="57"/>
      <c r="H846" s="57"/>
      <c r="I846" s="57"/>
    </row>
    <row r="847">
      <c r="E847" s="57"/>
      <c r="F847" s="57"/>
      <c r="G847" s="57"/>
      <c r="H847" s="57"/>
      <c r="I847" s="57"/>
    </row>
    <row r="848">
      <c r="E848" s="57"/>
      <c r="F848" s="57"/>
      <c r="G848" s="57"/>
      <c r="H848" s="57"/>
      <c r="I848" s="57"/>
    </row>
    <row r="849">
      <c r="E849" s="57"/>
      <c r="F849" s="57"/>
      <c r="G849" s="57"/>
      <c r="H849" s="57"/>
      <c r="I849" s="57"/>
    </row>
    <row r="850">
      <c r="E850" s="57"/>
      <c r="F850" s="57"/>
      <c r="G850" s="57"/>
      <c r="H850" s="57"/>
      <c r="I850" s="57"/>
    </row>
    <row r="851">
      <c r="E851" s="57"/>
      <c r="F851" s="57"/>
      <c r="G851" s="57"/>
      <c r="H851" s="57"/>
      <c r="I851" s="57"/>
    </row>
    <row r="852">
      <c r="E852" s="57"/>
      <c r="F852" s="57"/>
      <c r="G852" s="57"/>
      <c r="H852" s="57"/>
      <c r="I852" s="57"/>
    </row>
    <row r="853">
      <c r="E853" s="57"/>
      <c r="F853" s="57"/>
      <c r="G853" s="57"/>
      <c r="H853" s="57"/>
      <c r="I853" s="57"/>
    </row>
    <row r="854">
      <c r="E854" s="57"/>
      <c r="F854" s="57"/>
      <c r="G854" s="57"/>
      <c r="H854" s="57"/>
      <c r="I854" s="57"/>
    </row>
    <row r="855">
      <c r="E855" s="57"/>
      <c r="F855" s="57"/>
      <c r="G855" s="57"/>
      <c r="H855" s="57"/>
      <c r="I855" s="57"/>
    </row>
    <row r="856">
      <c r="E856" s="57"/>
      <c r="F856" s="57"/>
      <c r="G856" s="57"/>
      <c r="H856" s="57"/>
      <c r="I856" s="57"/>
    </row>
    <row r="857">
      <c r="E857" s="57"/>
      <c r="F857" s="57"/>
      <c r="G857" s="57"/>
      <c r="H857" s="57"/>
      <c r="I857" s="57"/>
    </row>
    <row r="858">
      <c r="E858" s="57"/>
      <c r="F858" s="57"/>
      <c r="G858" s="57"/>
      <c r="H858" s="57"/>
      <c r="I858" s="57"/>
    </row>
    <row r="859">
      <c r="E859" s="57"/>
      <c r="F859" s="57"/>
      <c r="G859" s="57"/>
      <c r="H859" s="57"/>
      <c r="I859" s="57"/>
    </row>
    <row r="860">
      <c r="E860" s="57"/>
      <c r="F860" s="57"/>
      <c r="G860" s="57"/>
      <c r="H860" s="57"/>
      <c r="I860" s="57"/>
    </row>
    <row r="861">
      <c r="E861" s="57"/>
      <c r="F861" s="57"/>
      <c r="G861" s="57"/>
      <c r="H861" s="57"/>
      <c r="I861" s="57"/>
    </row>
    <row r="862">
      <c r="E862" s="57"/>
      <c r="F862" s="57"/>
      <c r="G862" s="57"/>
      <c r="H862" s="57"/>
      <c r="I862" s="57"/>
    </row>
    <row r="863">
      <c r="E863" s="57"/>
      <c r="F863" s="57"/>
      <c r="G863" s="57"/>
      <c r="H863" s="57"/>
      <c r="I863" s="57"/>
    </row>
    <row r="864">
      <c r="E864" s="57"/>
      <c r="F864" s="57"/>
      <c r="G864" s="57"/>
      <c r="H864" s="57"/>
      <c r="I864" s="57"/>
    </row>
    <row r="865">
      <c r="E865" s="57"/>
      <c r="F865" s="57"/>
      <c r="G865" s="57"/>
      <c r="H865" s="57"/>
      <c r="I865" s="57"/>
    </row>
    <row r="866">
      <c r="E866" s="57"/>
      <c r="F866" s="57"/>
      <c r="G866" s="57"/>
      <c r="H866" s="57"/>
      <c r="I866" s="57"/>
    </row>
    <row r="867">
      <c r="E867" s="57"/>
      <c r="F867" s="57"/>
      <c r="G867" s="57"/>
      <c r="H867" s="57"/>
      <c r="I867" s="57"/>
    </row>
    <row r="868">
      <c r="E868" s="57"/>
      <c r="F868" s="57"/>
      <c r="G868" s="57"/>
      <c r="H868" s="57"/>
      <c r="I868" s="57"/>
    </row>
    <row r="869">
      <c r="E869" s="57"/>
      <c r="F869" s="57"/>
      <c r="G869" s="57"/>
      <c r="H869" s="57"/>
      <c r="I869" s="57"/>
    </row>
    <row r="870">
      <c r="E870" s="57"/>
      <c r="F870" s="57"/>
      <c r="G870" s="57"/>
      <c r="H870" s="57"/>
      <c r="I870" s="57"/>
    </row>
    <row r="871">
      <c r="E871" s="57"/>
      <c r="F871" s="57"/>
      <c r="G871" s="57"/>
      <c r="H871" s="57"/>
      <c r="I871" s="57"/>
    </row>
    <row r="872">
      <c r="E872" s="57"/>
      <c r="F872" s="57"/>
      <c r="G872" s="57"/>
      <c r="H872" s="57"/>
      <c r="I872" s="57"/>
    </row>
    <row r="873">
      <c r="E873" s="57"/>
      <c r="F873" s="57"/>
      <c r="G873" s="57"/>
      <c r="H873" s="57"/>
      <c r="I873" s="57"/>
    </row>
    <row r="874">
      <c r="E874" s="57"/>
      <c r="F874" s="57"/>
      <c r="G874" s="57"/>
      <c r="H874" s="57"/>
      <c r="I874" s="57"/>
    </row>
    <row r="875">
      <c r="E875" s="57"/>
      <c r="F875" s="57"/>
      <c r="G875" s="57"/>
      <c r="H875" s="57"/>
      <c r="I875" s="57"/>
    </row>
    <row r="876">
      <c r="E876" s="57"/>
      <c r="F876" s="57"/>
      <c r="G876" s="57"/>
      <c r="H876" s="57"/>
      <c r="I876" s="57"/>
    </row>
    <row r="877">
      <c r="E877" s="57"/>
      <c r="F877" s="57"/>
      <c r="G877" s="57"/>
      <c r="H877" s="57"/>
      <c r="I877" s="57"/>
    </row>
    <row r="878">
      <c r="E878" s="57"/>
      <c r="F878" s="57"/>
      <c r="G878" s="57"/>
      <c r="H878" s="57"/>
      <c r="I878" s="57"/>
    </row>
    <row r="879">
      <c r="E879" s="57"/>
      <c r="F879" s="57"/>
      <c r="G879" s="57"/>
      <c r="H879" s="57"/>
      <c r="I879" s="57"/>
    </row>
    <row r="880">
      <c r="E880" s="57"/>
      <c r="F880" s="57"/>
      <c r="G880" s="57"/>
      <c r="H880" s="57"/>
      <c r="I880" s="57"/>
    </row>
    <row r="881">
      <c r="E881" s="57"/>
      <c r="F881" s="57"/>
      <c r="G881" s="57"/>
      <c r="H881" s="57"/>
      <c r="I881" s="57"/>
    </row>
    <row r="882">
      <c r="E882" s="57"/>
      <c r="F882" s="57"/>
      <c r="G882" s="57"/>
      <c r="H882" s="57"/>
      <c r="I882" s="57"/>
    </row>
    <row r="883">
      <c r="E883" s="57"/>
      <c r="F883" s="57"/>
      <c r="G883" s="57"/>
      <c r="H883" s="57"/>
      <c r="I883" s="57"/>
    </row>
    <row r="884">
      <c r="E884" s="57"/>
      <c r="F884" s="57"/>
      <c r="G884" s="57"/>
      <c r="H884" s="57"/>
      <c r="I884" s="57"/>
    </row>
    <row r="885">
      <c r="E885" s="57"/>
      <c r="F885" s="57"/>
      <c r="G885" s="57"/>
      <c r="H885" s="57"/>
      <c r="I885" s="57"/>
    </row>
    <row r="886">
      <c r="E886" s="57"/>
      <c r="F886" s="57"/>
      <c r="G886" s="57"/>
      <c r="H886" s="57"/>
      <c r="I886" s="57"/>
    </row>
    <row r="887">
      <c r="E887" s="57"/>
      <c r="F887" s="57"/>
      <c r="G887" s="57"/>
      <c r="H887" s="57"/>
      <c r="I887" s="57"/>
    </row>
    <row r="888">
      <c r="E888" s="57"/>
      <c r="F888" s="57"/>
      <c r="G888" s="57"/>
      <c r="H888" s="57"/>
      <c r="I888" s="57"/>
    </row>
    <row r="889">
      <c r="E889" s="57"/>
      <c r="F889" s="57"/>
      <c r="G889" s="57"/>
      <c r="H889" s="57"/>
      <c r="I889" s="57"/>
    </row>
    <row r="890">
      <c r="E890" s="57"/>
      <c r="F890" s="57"/>
      <c r="G890" s="57"/>
      <c r="H890" s="57"/>
      <c r="I890" s="57"/>
    </row>
    <row r="891">
      <c r="E891" s="57"/>
      <c r="F891" s="57"/>
      <c r="G891" s="57"/>
      <c r="H891" s="57"/>
      <c r="I891" s="57"/>
    </row>
    <row r="892">
      <c r="E892" s="57"/>
      <c r="F892" s="57"/>
      <c r="G892" s="57"/>
      <c r="H892" s="57"/>
      <c r="I892" s="57"/>
    </row>
    <row r="893">
      <c r="E893" s="57"/>
      <c r="F893" s="57"/>
      <c r="G893" s="57"/>
      <c r="H893" s="57"/>
      <c r="I893" s="57"/>
    </row>
    <row r="894">
      <c r="E894" s="57"/>
      <c r="F894" s="57"/>
      <c r="G894" s="57"/>
      <c r="H894" s="57"/>
      <c r="I894" s="57"/>
    </row>
    <row r="895">
      <c r="E895" s="57"/>
      <c r="F895" s="57"/>
      <c r="G895" s="57"/>
      <c r="H895" s="57"/>
      <c r="I895" s="57"/>
    </row>
    <row r="896">
      <c r="E896" s="57"/>
      <c r="F896" s="57"/>
      <c r="G896" s="57"/>
      <c r="H896" s="57"/>
      <c r="I896" s="57"/>
    </row>
    <row r="897">
      <c r="E897" s="57"/>
      <c r="F897" s="57"/>
      <c r="G897" s="57"/>
      <c r="H897" s="57"/>
      <c r="I897" s="57"/>
    </row>
    <row r="898">
      <c r="E898" s="57"/>
      <c r="F898" s="57"/>
      <c r="G898" s="57"/>
      <c r="H898" s="57"/>
      <c r="I898" s="57"/>
    </row>
    <row r="899">
      <c r="E899" s="57"/>
      <c r="F899" s="57"/>
      <c r="G899" s="57"/>
      <c r="H899" s="57"/>
      <c r="I899" s="57"/>
    </row>
    <row r="900">
      <c r="E900" s="57"/>
      <c r="F900" s="57"/>
      <c r="G900" s="57"/>
      <c r="H900" s="57"/>
      <c r="I900" s="57"/>
    </row>
    <row r="901">
      <c r="E901" s="57"/>
      <c r="F901" s="57"/>
      <c r="G901" s="57"/>
      <c r="H901" s="57"/>
      <c r="I901" s="57"/>
    </row>
    <row r="902">
      <c r="E902" s="57"/>
      <c r="F902" s="57"/>
      <c r="G902" s="57"/>
      <c r="H902" s="57"/>
      <c r="I902" s="57"/>
    </row>
    <row r="903">
      <c r="E903" s="57"/>
      <c r="F903" s="57"/>
      <c r="G903" s="57"/>
      <c r="H903" s="57"/>
      <c r="I903" s="57"/>
    </row>
    <row r="904">
      <c r="E904" s="57"/>
      <c r="F904" s="57"/>
      <c r="G904" s="57"/>
      <c r="H904" s="57"/>
      <c r="I904" s="57"/>
    </row>
    <row r="905">
      <c r="E905" s="57"/>
      <c r="F905" s="57"/>
      <c r="G905" s="57"/>
      <c r="H905" s="57"/>
      <c r="I905" s="57"/>
    </row>
    <row r="906">
      <c r="E906" s="57"/>
      <c r="F906" s="57"/>
      <c r="G906" s="57"/>
      <c r="H906" s="57"/>
      <c r="I906" s="57"/>
    </row>
    <row r="907">
      <c r="E907" s="57"/>
      <c r="F907" s="57"/>
      <c r="G907" s="57"/>
      <c r="H907" s="57"/>
      <c r="I907" s="57"/>
    </row>
    <row r="908">
      <c r="E908" s="57"/>
      <c r="F908" s="57"/>
      <c r="G908" s="57"/>
      <c r="H908" s="57"/>
      <c r="I908" s="57"/>
    </row>
    <row r="909">
      <c r="E909" s="57"/>
      <c r="F909" s="57"/>
      <c r="G909" s="57"/>
      <c r="H909" s="57"/>
      <c r="I909" s="57"/>
    </row>
    <row r="910">
      <c r="E910" s="57"/>
      <c r="F910" s="57"/>
      <c r="G910" s="57"/>
      <c r="H910" s="57"/>
      <c r="I910" s="57"/>
    </row>
    <row r="911">
      <c r="E911" s="57"/>
      <c r="F911" s="57"/>
      <c r="G911" s="57"/>
      <c r="H911" s="57"/>
      <c r="I911" s="57"/>
    </row>
    <row r="912">
      <c r="E912" s="57"/>
      <c r="F912" s="57"/>
      <c r="G912" s="57"/>
      <c r="H912" s="57"/>
      <c r="I912" s="57"/>
    </row>
    <row r="913">
      <c r="E913" s="57"/>
      <c r="F913" s="57"/>
      <c r="G913" s="57"/>
      <c r="H913" s="57"/>
      <c r="I913" s="57"/>
    </row>
    <row r="914">
      <c r="E914" s="57"/>
      <c r="F914" s="57"/>
      <c r="G914" s="57"/>
      <c r="H914" s="57"/>
      <c r="I914" s="57"/>
    </row>
    <row r="915">
      <c r="E915" s="57"/>
      <c r="F915" s="57"/>
      <c r="G915" s="57"/>
      <c r="H915" s="57"/>
      <c r="I915" s="57"/>
    </row>
    <row r="916">
      <c r="E916" s="57"/>
      <c r="F916" s="57"/>
      <c r="G916" s="57"/>
      <c r="H916" s="57"/>
      <c r="I916" s="57"/>
    </row>
    <row r="917">
      <c r="E917" s="57"/>
      <c r="F917" s="57"/>
      <c r="G917" s="57"/>
      <c r="H917" s="57"/>
      <c r="I917" s="57"/>
    </row>
    <row r="918">
      <c r="E918" s="57"/>
      <c r="F918" s="57"/>
      <c r="G918" s="57"/>
      <c r="H918" s="57"/>
      <c r="I918" s="57"/>
    </row>
    <row r="919">
      <c r="E919" s="57"/>
      <c r="F919" s="57"/>
      <c r="G919" s="57"/>
      <c r="H919" s="57"/>
      <c r="I919" s="57"/>
    </row>
    <row r="920">
      <c r="E920" s="57"/>
      <c r="F920" s="57"/>
      <c r="G920" s="57"/>
      <c r="H920" s="57"/>
      <c r="I920" s="57"/>
    </row>
    <row r="921">
      <c r="E921" s="57"/>
      <c r="F921" s="57"/>
      <c r="G921" s="57"/>
      <c r="H921" s="57"/>
      <c r="I921" s="57"/>
    </row>
    <row r="922">
      <c r="E922" s="57"/>
      <c r="F922" s="57"/>
      <c r="G922" s="57"/>
      <c r="H922" s="57"/>
      <c r="I922" s="57"/>
    </row>
    <row r="923">
      <c r="E923" s="57"/>
      <c r="F923" s="57"/>
      <c r="G923" s="57"/>
      <c r="H923" s="57"/>
      <c r="I923" s="57"/>
    </row>
    <row r="924">
      <c r="E924" s="57"/>
      <c r="F924" s="57"/>
      <c r="G924" s="57"/>
      <c r="H924" s="57"/>
      <c r="I924" s="57"/>
    </row>
    <row r="925">
      <c r="E925" s="57"/>
      <c r="F925" s="57"/>
      <c r="G925" s="57"/>
      <c r="H925" s="57"/>
      <c r="I925" s="57"/>
    </row>
    <row r="926">
      <c r="E926" s="57"/>
      <c r="F926" s="57"/>
      <c r="G926" s="57"/>
      <c r="H926" s="57"/>
      <c r="I926" s="57"/>
    </row>
    <row r="927">
      <c r="E927" s="57"/>
      <c r="F927" s="57"/>
      <c r="G927" s="57"/>
      <c r="H927" s="57"/>
      <c r="I927" s="57"/>
    </row>
    <row r="928">
      <c r="E928" s="57"/>
      <c r="F928" s="57"/>
      <c r="G928" s="57"/>
      <c r="H928" s="57"/>
      <c r="I928" s="57"/>
    </row>
    <row r="929">
      <c r="E929" s="57"/>
      <c r="F929" s="57"/>
      <c r="G929" s="57"/>
      <c r="H929" s="57"/>
      <c r="I929" s="57"/>
    </row>
    <row r="930">
      <c r="E930" s="57"/>
      <c r="F930" s="57"/>
      <c r="G930" s="57"/>
      <c r="H930" s="57"/>
      <c r="I930" s="57"/>
    </row>
    <row r="931">
      <c r="E931" s="57"/>
      <c r="F931" s="57"/>
      <c r="G931" s="57"/>
      <c r="H931" s="57"/>
      <c r="I931" s="57"/>
    </row>
    <row r="932">
      <c r="E932" s="57"/>
      <c r="F932" s="57"/>
      <c r="G932" s="57"/>
      <c r="H932" s="57"/>
      <c r="I932" s="57"/>
    </row>
    <row r="933">
      <c r="E933" s="57"/>
      <c r="F933" s="57"/>
      <c r="G933" s="57"/>
      <c r="H933" s="57"/>
      <c r="I933" s="57"/>
    </row>
    <row r="934">
      <c r="E934" s="57"/>
      <c r="F934" s="57"/>
      <c r="G934" s="57"/>
      <c r="H934" s="57"/>
      <c r="I934" s="57"/>
    </row>
    <row r="935">
      <c r="E935" s="57"/>
      <c r="F935" s="57"/>
      <c r="G935" s="57"/>
      <c r="H935" s="57"/>
      <c r="I935" s="57"/>
    </row>
    <row r="936">
      <c r="E936" s="57"/>
      <c r="F936" s="57"/>
      <c r="G936" s="57"/>
      <c r="H936" s="57"/>
      <c r="I936" s="57"/>
    </row>
    <row r="937">
      <c r="E937" s="57"/>
      <c r="F937" s="57"/>
      <c r="G937" s="57"/>
      <c r="H937" s="57"/>
      <c r="I937" s="57"/>
    </row>
    <row r="938">
      <c r="E938" s="57"/>
      <c r="F938" s="57"/>
      <c r="G938" s="57"/>
      <c r="H938" s="57"/>
      <c r="I938" s="57"/>
    </row>
    <row r="939">
      <c r="E939" s="57"/>
      <c r="F939" s="57"/>
      <c r="G939" s="57"/>
      <c r="H939" s="57"/>
      <c r="I939" s="57"/>
    </row>
    <row r="940">
      <c r="E940" s="57"/>
      <c r="F940" s="57"/>
      <c r="G940" s="57"/>
      <c r="H940" s="57"/>
      <c r="I940" s="57"/>
    </row>
    <row r="941">
      <c r="E941" s="57"/>
      <c r="F941" s="57"/>
      <c r="G941" s="57"/>
      <c r="H941" s="57"/>
      <c r="I941" s="57"/>
    </row>
    <row r="942">
      <c r="E942" s="57"/>
      <c r="F942" s="57"/>
      <c r="G942" s="57"/>
      <c r="H942" s="57"/>
      <c r="I942" s="57"/>
    </row>
    <row r="943">
      <c r="E943" s="57"/>
      <c r="F943" s="57"/>
      <c r="G943" s="57"/>
      <c r="H943" s="57"/>
      <c r="I943" s="57"/>
    </row>
    <row r="944">
      <c r="E944" s="57"/>
      <c r="F944" s="57"/>
      <c r="G944" s="57"/>
      <c r="H944" s="57"/>
      <c r="I944" s="57"/>
    </row>
    <row r="945">
      <c r="E945" s="57"/>
      <c r="F945" s="57"/>
      <c r="G945" s="57"/>
      <c r="H945" s="57"/>
      <c r="I945" s="57"/>
    </row>
    <row r="946">
      <c r="E946" s="57"/>
      <c r="F946" s="57"/>
      <c r="G946" s="57"/>
      <c r="H946" s="57"/>
      <c r="I946" s="57"/>
    </row>
    <row r="947">
      <c r="E947" s="57"/>
      <c r="F947" s="57"/>
      <c r="G947" s="57"/>
      <c r="H947" s="57"/>
      <c r="I947" s="57"/>
    </row>
    <row r="948">
      <c r="E948" s="57"/>
      <c r="F948" s="57"/>
      <c r="G948" s="57"/>
      <c r="H948" s="57"/>
      <c r="I948" s="57"/>
    </row>
    <row r="949">
      <c r="E949" s="57"/>
      <c r="F949" s="57"/>
      <c r="G949" s="57"/>
      <c r="H949" s="57"/>
      <c r="I949" s="57"/>
    </row>
    <row r="950">
      <c r="E950" s="57"/>
      <c r="F950" s="57"/>
      <c r="G950" s="57"/>
      <c r="H950" s="57"/>
      <c r="I950" s="57"/>
    </row>
    <row r="951">
      <c r="E951" s="57"/>
      <c r="F951" s="57"/>
      <c r="G951" s="57"/>
      <c r="H951" s="57"/>
      <c r="I951" s="57"/>
    </row>
    <row r="952">
      <c r="E952" s="57"/>
      <c r="F952" s="57"/>
      <c r="G952" s="57"/>
      <c r="H952" s="57"/>
      <c r="I952" s="57"/>
    </row>
    <row r="953">
      <c r="E953" s="57"/>
      <c r="F953" s="57"/>
      <c r="G953" s="57"/>
      <c r="H953" s="57"/>
      <c r="I953" s="57"/>
    </row>
    <row r="954">
      <c r="E954" s="57"/>
      <c r="F954" s="57"/>
      <c r="G954" s="57"/>
      <c r="H954" s="57"/>
      <c r="I954" s="57"/>
    </row>
    <row r="955">
      <c r="E955" s="57"/>
      <c r="F955" s="57"/>
      <c r="G955" s="57"/>
      <c r="H955" s="57"/>
      <c r="I955" s="57"/>
    </row>
    <row r="956">
      <c r="E956" s="57"/>
      <c r="F956" s="57"/>
      <c r="G956" s="57"/>
      <c r="H956" s="57"/>
      <c r="I956" s="57"/>
    </row>
    <row r="957">
      <c r="E957" s="57"/>
      <c r="F957" s="57"/>
      <c r="G957" s="57"/>
      <c r="H957" s="57"/>
      <c r="I957" s="57"/>
    </row>
    <row r="958">
      <c r="E958" s="57"/>
      <c r="F958" s="57"/>
      <c r="G958" s="57"/>
      <c r="H958" s="57"/>
      <c r="I958" s="57"/>
    </row>
    <row r="959">
      <c r="E959" s="57"/>
      <c r="F959" s="57"/>
      <c r="G959" s="57"/>
      <c r="H959" s="57"/>
      <c r="I959" s="57"/>
    </row>
    <row r="960">
      <c r="E960" s="57"/>
      <c r="F960" s="57"/>
      <c r="G960" s="57"/>
      <c r="H960" s="57"/>
      <c r="I960" s="57"/>
    </row>
    <row r="961">
      <c r="E961" s="57"/>
      <c r="F961" s="57"/>
      <c r="G961" s="57"/>
      <c r="H961" s="57"/>
      <c r="I961" s="57"/>
    </row>
    <row r="962">
      <c r="E962" s="57"/>
      <c r="F962" s="57"/>
      <c r="G962" s="57"/>
      <c r="H962" s="57"/>
      <c r="I962" s="57"/>
    </row>
    <row r="963">
      <c r="E963" s="57"/>
      <c r="F963" s="57"/>
      <c r="G963" s="57"/>
      <c r="H963" s="57"/>
      <c r="I963" s="57"/>
    </row>
    <row r="964">
      <c r="E964" s="57"/>
      <c r="F964" s="57"/>
      <c r="G964" s="57"/>
      <c r="H964" s="57"/>
      <c r="I964" s="57"/>
    </row>
    <row r="965">
      <c r="E965" s="57"/>
      <c r="F965" s="57"/>
      <c r="G965" s="57"/>
      <c r="H965" s="57"/>
      <c r="I965" s="57"/>
    </row>
    <row r="966">
      <c r="E966" s="57"/>
      <c r="F966" s="57"/>
      <c r="G966" s="57"/>
      <c r="H966" s="57"/>
      <c r="I966" s="57"/>
    </row>
    <row r="967">
      <c r="E967" s="57"/>
      <c r="F967" s="57"/>
      <c r="G967" s="57"/>
      <c r="H967" s="57"/>
      <c r="I967" s="57"/>
    </row>
    <row r="968">
      <c r="E968" s="57"/>
      <c r="F968" s="57"/>
      <c r="G968" s="57"/>
      <c r="H968" s="57"/>
      <c r="I968" s="57"/>
    </row>
    <row r="969">
      <c r="E969" s="57"/>
      <c r="F969" s="57"/>
      <c r="G969" s="57"/>
      <c r="H969" s="57"/>
      <c r="I969" s="57"/>
    </row>
    <row r="970">
      <c r="E970" s="57"/>
      <c r="F970" s="57"/>
      <c r="G970" s="57"/>
      <c r="H970" s="57"/>
      <c r="I970" s="57"/>
    </row>
    <row r="971">
      <c r="E971" s="57"/>
      <c r="F971" s="57"/>
      <c r="G971" s="57"/>
      <c r="H971" s="57"/>
      <c r="I971" s="57"/>
    </row>
    <row r="972">
      <c r="E972" s="57"/>
      <c r="F972" s="57"/>
      <c r="G972" s="57"/>
      <c r="H972" s="57"/>
      <c r="I972" s="57"/>
    </row>
    <row r="973">
      <c r="E973" s="57"/>
      <c r="F973" s="57"/>
      <c r="G973" s="57"/>
      <c r="H973" s="57"/>
      <c r="I973" s="57"/>
    </row>
    <row r="974">
      <c r="E974" s="57"/>
      <c r="F974" s="57"/>
      <c r="G974" s="57"/>
      <c r="H974" s="57"/>
      <c r="I974" s="57"/>
    </row>
    <row r="975">
      <c r="E975" s="57"/>
      <c r="F975" s="57"/>
      <c r="G975" s="57"/>
      <c r="H975" s="57"/>
      <c r="I975" s="57"/>
    </row>
    <row r="976">
      <c r="E976" s="57"/>
      <c r="F976" s="57"/>
      <c r="G976" s="57"/>
      <c r="H976" s="57"/>
      <c r="I976" s="57"/>
    </row>
    <row r="977">
      <c r="E977" s="57"/>
      <c r="F977" s="57"/>
      <c r="G977" s="57"/>
      <c r="H977" s="57"/>
      <c r="I977" s="57"/>
    </row>
    <row r="978">
      <c r="E978" s="57"/>
      <c r="F978" s="57"/>
      <c r="G978" s="57"/>
      <c r="H978" s="57"/>
      <c r="I978" s="57"/>
    </row>
    <row r="979">
      <c r="E979" s="57"/>
      <c r="F979" s="57"/>
      <c r="G979" s="57"/>
      <c r="H979" s="57"/>
      <c r="I979" s="57"/>
    </row>
    <row r="980">
      <c r="E980" s="57"/>
      <c r="F980" s="57"/>
      <c r="G980" s="57"/>
      <c r="H980" s="57"/>
      <c r="I980" s="57"/>
    </row>
    <row r="981">
      <c r="E981" s="57"/>
      <c r="F981" s="57"/>
      <c r="G981" s="57"/>
      <c r="H981" s="57"/>
      <c r="I981" s="57"/>
    </row>
    <row r="982">
      <c r="E982" s="57"/>
      <c r="F982" s="57"/>
      <c r="G982" s="57"/>
      <c r="H982" s="57"/>
      <c r="I982" s="57"/>
    </row>
    <row r="983">
      <c r="E983" s="57"/>
      <c r="F983" s="57"/>
      <c r="G983" s="57"/>
      <c r="H983" s="57"/>
      <c r="I983" s="57"/>
    </row>
    <row r="984">
      <c r="E984" s="57"/>
      <c r="F984" s="57"/>
      <c r="G984" s="57"/>
      <c r="H984" s="57"/>
      <c r="I984" s="57"/>
    </row>
    <row r="985">
      <c r="E985" s="57"/>
      <c r="F985" s="57"/>
      <c r="G985" s="57"/>
      <c r="H985" s="57"/>
      <c r="I985" s="57"/>
    </row>
    <row r="986">
      <c r="E986" s="57"/>
      <c r="F986" s="57"/>
      <c r="G986" s="57"/>
      <c r="H986" s="57"/>
      <c r="I986" s="57"/>
    </row>
    <row r="987">
      <c r="E987" s="57"/>
      <c r="F987" s="57"/>
      <c r="G987" s="57"/>
      <c r="H987" s="57"/>
      <c r="I987" s="57"/>
    </row>
    <row r="988">
      <c r="E988" s="57"/>
      <c r="F988" s="57"/>
      <c r="G988" s="57"/>
      <c r="H988" s="57"/>
      <c r="I988" s="57"/>
    </row>
    <row r="989">
      <c r="E989" s="57"/>
      <c r="F989" s="57"/>
      <c r="G989" s="57"/>
      <c r="H989" s="57"/>
      <c r="I989" s="57"/>
    </row>
    <row r="990">
      <c r="E990" s="57"/>
      <c r="F990" s="57"/>
      <c r="G990" s="57"/>
      <c r="H990" s="57"/>
      <c r="I990" s="57"/>
    </row>
    <row r="991">
      <c r="E991" s="57"/>
      <c r="F991" s="57"/>
      <c r="G991" s="57"/>
      <c r="H991" s="57"/>
      <c r="I991" s="57"/>
    </row>
    <row r="992">
      <c r="E992" s="57"/>
      <c r="F992" s="57"/>
      <c r="G992" s="57"/>
      <c r="H992" s="57"/>
      <c r="I992" s="57"/>
    </row>
    <row r="993">
      <c r="E993" s="57"/>
      <c r="F993" s="57"/>
      <c r="G993" s="57"/>
      <c r="H993" s="57"/>
      <c r="I993" s="57"/>
    </row>
    <row r="994">
      <c r="E994" s="57"/>
      <c r="F994" s="57"/>
      <c r="G994" s="57"/>
      <c r="H994" s="57"/>
      <c r="I994" s="57"/>
    </row>
    <row r="995">
      <c r="E995" s="57"/>
      <c r="F995" s="57"/>
      <c r="G995" s="57"/>
      <c r="H995" s="57"/>
      <c r="I995" s="57"/>
    </row>
    <row r="996">
      <c r="E996" s="57"/>
      <c r="F996" s="57"/>
      <c r="G996" s="57"/>
      <c r="H996" s="57"/>
      <c r="I996" s="57"/>
    </row>
    <row r="997">
      <c r="E997" s="57"/>
      <c r="F997" s="57"/>
      <c r="G997" s="57"/>
      <c r="H997" s="57"/>
      <c r="I997" s="57"/>
    </row>
    <row r="998">
      <c r="E998" s="57"/>
      <c r="F998" s="57"/>
      <c r="G998" s="57"/>
      <c r="H998" s="57"/>
      <c r="I998" s="57"/>
    </row>
    <row r="999">
      <c r="E999" s="57"/>
      <c r="F999" s="57"/>
      <c r="G999" s="57"/>
      <c r="H999" s="57"/>
      <c r="I999" s="57"/>
    </row>
    <row r="1000">
      <c r="E1000" s="57"/>
      <c r="F1000" s="57"/>
      <c r="G1000" s="57"/>
      <c r="H1000" s="57"/>
      <c r="I1000" s="57"/>
    </row>
    <row r="1001">
      <c r="E1001" s="57"/>
      <c r="F1001" s="57"/>
      <c r="G1001" s="57"/>
      <c r="H1001" s="57"/>
      <c r="I1001" s="57"/>
    </row>
    <row r="1002">
      <c r="E1002" s="57"/>
      <c r="F1002" s="57"/>
      <c r="G1002" s="57"/>
      <c r="H1002" s="57"/>
      <c r="I1002" s="57"/>
    </row>
    <row r="1003">
      <c r="E1003" s="57"/>
      <c r="F1003" s="57"/>
      <c r="G1003" s="57"/>
      <c r="H1003" s="57"/>
      <c r="I1003" s="57"/>
    </row>
    <row r="1004">
      <c r="E1004" s="57"/>
      <c r="F1004" s="57"/>
      <c r="G1004" s="57"/>
      <c r="H1004" s="57"/>
      <c r="I1004" s="57"/>
    </row>
    <row r="1005">
      <c r="E1005" s="57"/>
      <c r="F1005" s="57"/>
      <c r="G1005" s="57"/>
      <c r="H1005" s="57"/>
      <c r="I1005" s="57"/>
    </row>
    <row r="1006">
      <c r="E1006" s="57"/>
      <c r="F1006" s="57"/>
      <c r="G1006" s="57"/>
      <c r="H1006" s="57"/>
      <c r="I1006" s="57"/>
    </row>
    <row r="1007">
      <c r="E1007" s="57"/>
      <c r="F1007" s="57"/>
      <c r="G1007" s="57"/>
      <c r="H1007" s="57"/>
      <c r="I1007" s="57"/>
    </row>
    <row r="1008">
      <c r="E1008" s="57"/>
      <c r="F1008" s="57"/>
      <c r="G1008" s="57"/>
      <c r="H1008" s="57"/>
      <c r="I1008" s="57"/>
    </row>
    <row r="1009">
      <c r="E1009" s="57"/>
      <c r="F1009" s="57"/>
      <c r="G1009" s="57"/>
      <c r="H1009" s="57"/>
      <c r="I1009" s="57"/>
    </row>
    <row r="1010">
      <c r="E1010" s="57"/>
      <c r="F1010" s="57"/>
      <c r="G1010" s="57"/>
      <c r="H1010" s="57"/>
      <c r="I1010" s="57"/>
    </row>
    <row r="1011">
      <c r="E1011" s="57"/>
      <c r="F1011" s="57"/>
      <c r="G1011" s="57"/>
      <c r="H1011" s="57"/>
      <c r="I1011" s="57"/>
    </row>
    <row r="1012">
      <c r="E1012" s="57"/>
      <c r="F1012" s="57"/>
      <c r="G1012" s="57"/>
      <c r="H1012" s="57"/>
      <c r="I1012" s="57"/>
    </row>
    <row r="1013">
      <c r="E1013" s="57"/>
      <c r="F1013" s="57"/>
      <c r="G1013" s="57"/>
      <c r="H1013" s="57"/>
      <c r="I1013" s="57"/>
    </row>
    <row r="1014">
      <c r="E1014" s="57"/>
      <c r="F1014" s="57"/>
      <c r="G1014" s="57"/>
      <c r="H1014" s="57"/>
      <c r="I1014" s="57"/>
    </row>
    <row r="1015">
      <c r="E1015" s="57"/>
      <c r="F1015" s="57"/>
      <c r="G1015" s="57"/>
      <c r="H1015" s="57"/>
      <c r="I1015" s="57"/>
    </row>
    <row r="1016">
      <c r="E1016" s="57"/>
      <c r="F1016" s="57"/>
      <c r="G1016" s="57"/>
      <c r="H1016" s="57"/>
      <c r="I1016" s="57"/>
    </row>
    <row r="1017">
      <c r="E1017" s="57"/>
      <c r="F1017" s="57"/>
      <c r="G1017" s="57"/>
      <c r="H1017" s="57"/>
      <c r="I1017" s="57"/>
    </row>
    <row r="1018">
      <c r="E1018" s="57"/>
      <c r="F1018" s="57"/>
      <c r="G1018" s="57"/>
      <c r="H1018" s="57"/>
      <c r="I1018" s="57"/>
    </row>
    <row r="1019">
      <c r="E1019" s="57"/>
      <c r="F1019" s="57"/>
      <c r="G1019" s="57"/>
      <c r="H1019" s="57"/>
      <c r="I1019" s="57"/>
    </row>
    <row r="1020">
      <c r="E1020" s="57"/>
      <c r="F1020" s="57"/>
      <c r="G1020" s="57"/>
      <c r="H1020" s="57"/>
      <c r="I1020" s="57"/>
    </row>
    <row r="1021">
      <c r="E1021" s="57"/>
      <c r="F1021" s="57"/>
      <c r="G1021" s="57"/>
      <c r="H1021" s="57"/>
      <c r="I1021" s="57"/>
    </row>
    <row r="1022">
      <c r="E1022" s="57"/>
      <c r="F1022" s="57"/>
      <c r="G1022" s="57"/>
      <c r="H1022" s="57"/>
      <c r="I1022" s="57"/>
    </row>
    <row r="1023">
      <c r="E1023" s="57"/>
      <c r="F1023" s="57"/>
      <c r="G1023" s="57"/>
      <c r="H1023" s="57"/>
      <c r="I1023" s="57"/>
    </row>
    <row r="1024">
      <c r="E1024" s="57"/>
      <c r="F1024" s="57"/>
      <c r="G1024" s="57"/>
      <c r="H1024" s="57"/>
      <c r="I1024" s="57"/>
    </row>
    <row r="1025">
      <c r="E1025" s="57"/>
      <c r="F1025" s="57"/>
      <c r="G1025" s="57"/>
      <c r="H1025" s="57"/>
      <c r="I1025" s="57"/>
    </row>
    <row r="1026">
      <c r="E1026" s="57"/>
      <c r="F1026" s="57"/>
      <c r="G1026" s="57"/>
      <c r="H1026" s="57"/>
      <c r="I1026" s="57"/>
    </row>
    <row r="1027">
      <c r="E1027" s="57"/>
      <c r="F1027" s="57"/>
      <c r="G1027" s="57"/>
      <c r="H1027" s="57"/>
      <c r="I1027" s="57"/>
    </row>
    <row r="1028">
      <c r="E1028" s="57"/>
      <c r="F1028" s="57"/>
      <c r="G1028" s="57"/>
      <c r="H1028" s="57"/>
      <c r="I1028" s="57"/>
    </row>
    <row r="1029">
      <c r="E1029" s="57"/>
      <c r="F1029" s="57"/>
      <c r="G1029" s="57"/>
      <c r="H1029" s="57"/>
      <c r="I1029" s="57"/>
    </row>
    <row r="1030">
      <c r="E1030" s="57"/>
      <c r="F1030" s="57"/>
      <c r="G1030" s="57"/>
      <c r="H1030" s="57"/>
      <c r="I1030" s="57"/>
    </row>
    <row r="1031">
      <c r="E1031" s="57"/>
      <c r="F1031" s="57"/>
      <c r="G1031" s="57"/>
      <c r="H1031" s="57"/>
      <c r="I1031" s="57"/>
    </row>
    <row r="1032">
      <c r="E1032" s="57"/>
      <c r="F1032" s="57"/>
      <c r="G1032" s="57"/>
      <c r="H1032" s="57"/>
      <c r="I1032" s="57"/>
    </row>
    <row r="1033">
      <c r="E1033" s="57"/>
      <c r="F1033" s="57"/>
      <c r="G1033" s="57"/>
      <c r="H1033" s="57"/>
      <c r="I1033" s="57"/>
    </row>
    <row r="1034">
      <c r="E1034" s="57"/>
      <c r="F1034" s="57"/>
      <c r="G1034" s="57"/>
      <c r="H1034" s="57"/>
      <c r="I1034" s="57"/>
    </row>
    <row r="1035">
      <c r="E1035" s="57"/>
      <c r="F1035" s="57"/>
      <c r="G1035" s="57"/>
      <c r="H1035" s="57"/>
      <c r="I1035" s="57"/>
    </row>
    <row r="1036">
      <c r="E1036" s="57"/>
      <c r="F1036" s="57"/>
      <c r="G1036" s="57"/>
      <c r="H1036" s="57"/>
      <c r="I1036" s="57"/>
    </row>
    <row r="1037">
      <c r="E1037" s="57"/>
      <c r="F1037" s="57"/>
      <c r="G1037" s="57"/>
      <c r="H1037" s="57"/>
      <c r="I1037" s="57"/>
    </row>
    <row r="1038">
      <c r="E1038" s="57"/>
      <c r="F1038" s="57"/>
      <c r="G1038" s="57"/>
      <c r="H1038" s="57"/>
      <c r="I1038" s="57"/>
    </row>
    <row r="1039">
      <c r="E1039" s="57"/>
      <c r="F1039" s="57"/>
      <c r="G1039" s="57"/>
      <c r="H1039" s="57"/>
      <c r="I1039" s="57"/>
    </row>
    <row r="1040">
      <c r="E1040" s="57"/>
      <c r="F1040" s="57"/>
      <c r="G1040" s="57"/>
      <c r="H1040" s="57"/>
      <c r="I1040" s="57"/>
    </row>
    <row r="1041">
      <c r="E1041" s="57"/>
      <c r="F1041" s="57"/>
      <c r="G1041" s="57"/>
      <c r="H1041" s="57"/>
      <c r="I1041" s="57"/>
    </row>
    <row r="1042">
      <c r="E1042" s="57"/>
      <c r="F1042" s="57"/>
      <c r="G1042" s="57"/>
      <c r="H1042" s="57"/>
      <c r="I1042" s="57"/>
    </row>
    <row r="1043">
      <c r="E1043" s="57"/>
      <c r="F1043" s="57"/>
      <c r="G1043" s="57"/>
      <c r="H1043" s="57"/>
      <c r="I1043" s="57"/>
    </row>
    <row r="1044">
      <c r="E1044" s="57"/>
      <c r="F1044" s="57"/>
      <c r="G1044" s="57"/>
      <c r="H1044" s="57"/>
      <c r="I1044" s="57"/>
    </row>
    <row r="1045">
      <c r="E1045" s="57"/>
      <c r="F1045" s="57"/>
      <c r="G1045" s="57"/>
      <c r="H1045" s="57"/>
      <c r="I1045" s="57"/>
    </row>
    <row r="1046">
      <c r="E1046" s="57"/>
      <c r="F1046" s="57"/>
      <c r="G1046" s="57"/>
      <c r="H1046" s="57"/>
      <c r="I1046" s="57"/>
    </row>
    <row r="1047">
      <c r="E1047" s="57"/>
      <c r="F1047" s="57"/>
      <c r="G1047" s="57"/>
      <c r="H1047" s="57"/>
      <c r="I1047" s="57"/>
    </row>
    <row r="1048">
      <c r="E1048" s="57"/>
      <c r="F1048" s="57"/>
      <c r="G1048" s="57"/>
      <c r="H1048" s="57"/>
      <c r="I1048" s="57"/>
    </row>
    <row r="1049">
      <c r="E1049" s="57"/>
      <c r="F1049" s="57"/>
      <c r="G1049" s="57"/>
      <c r="H1049" s="57"/>
      <c r="I1049" s="57"/>
    </row>
    <row r="1050">
      <c r="E1050" s="57"/>
      <c r="F1050" s="57"/>
      <c r="G1050" s="57"/>
      <c r="H1050" s="57"/>
      <c r="I1050" s="57"/>
    </row>
    <row r="1051">
      <c r="E1051" s="57"/>
      <c r="F1051" s="57"/>
      <c r="G1051" s="57"/>
      <c r="H1051" s="57"/>
      <c r="I1051" s="57"/>
    </row>
    <row r="1052">
      <c r="E1052" s="57"/>
      <c r="F1052" s="57"/>
      <c r="G1052" s="57"/>
      <c r="H1052" s="57"/>
      <c r="I1052" s="57"/>
    </row>
    <row r="1053">
      <c r="E1053" s="57"/>
      <c r="F1053" s="57"/>
      <c r="G1053" s="57"/>
      <c r="H1053" s="57"/>
      <c r="I1053" s="57"/>
    </row>
    <row r="1054">
      <c r="E1054" s="57"/>
      <c r="F1054" s="57"/>
      <c r="G1054" s="57"/>
      <c r="H1054" s="57"/>
      <c r="I1054" s="57"/>
    </row>
    <row r="1055">
      <c r="E1055" s="57"/>
      <c r="F1055" s="57"/>
      <c r="G1055" s="57"/>
      <c r="H1055" s="57"/>
      <c r="I1055" s="57"/>
    </row>
    <row r="1056">
      <c r="E1056" s="57"/>
      <c r="F1056" s="57"/>
      <c r="G1056" s="57"/>
      <c r="H1056" s="57"/>
      <c r="I1056" s="57"/>
    </row>
    <row r="1057">
      <c r="E1057" s="57"/>
      <c r="F1057" s="57"/>
      <c r="G1057" s="57"/>
      <c r="H1057" s="57"/>
      <c r="I1057" s="57"/>
    </row>
    <row r="1058">
      <c r="E1058" s="57"/>
      <c r="F1058" s="57"/>
      <c r="G1058" s="57"/>
      <c r="H1058" s="57"/>
      <c r="I1058" s="57"/>
    </row>
    <row r="1059">
      <c r="E1059" s="57"/>
      <c r="F1059" s="57"/>
      <c r="G1059" s="57"/>
      <c r="H1059" s="57"/>
      <c r="I1059" s="57"/>
    </row>
    <row r="1060">
      <c r="E1060" s="57"/>
      <c r="F1060" s="57"/>
      <c r="G1060" s="57"/>
      <c r="H1060" s="57"/>
      <c r="I1060" s="57"/>
    </row>
    <row r="1061">
      <c r="E1061" s="57"/>
      <c r="F1061" s="57"/>
      <c r="G1061" s="57"/>
      <c r="H1061" s="57"/>
      <c r="I1061" s="57"/>
    </row>
    <row r="1062">
      <c r="E1062" s="57"/>
      <c r="F1062" s="57"/>
      <c r="G1062" s="57"/>
      <c r="H1062" s="57"/>
      <c r="I1062" s="57"/>
    </row>
    <row r="1063">
      <c r="E1063" s="57"/>
      <c r="F1063" s="57"/>
      <c r="G1063" s="57"/>
      <c r="H1063" s="57"/>
      <c r="I1063" s="57"/>
    </row>
    <row r="1064">
      <c r="E1064" s="57"/>
      <c r="F1064" s="57"/>
      <c r="G1064" s="57"/>
      <c r="H1064" s="57"/>
      <c r="I1064" s="57"/>
    </row>
    <row r="1065">
      <c r="E1065" s="57"/>
      <c r="F1065" s="57"/>
      <c r="G1065" s="57"/>
      <c r="H1065" s="57"/>
      <c r="I1065" s="57"/>
    </row>
    <row r="1066">
      <c r="E1066" s="57"/>
      <c r="F1066" s="57"/>
      <c r="G1066" s="57"/>
      <c r="H1066" s="57"/>
      <c r="I1066" s="57"/>
    </row>
    <row r="1067">
      <c r="E1067" s="57"/>
      <c r="F1067" s="57"/>
      <c r="G1067" s="57"/>
      <c r="H1067" s="57"/>
      <c r="I1067" s="57"/>
    </row>
    <row r="1068">
      <c r="E1068" s="57"/>
      <c r="F1068" s="57"/>
      <c r="G1068" s="57"/>
      <c r="H1068" s="57"/>
      <c r="I1068" s="57"/>
    </row>
    <row r="1069">
      <c r="E1069" s="57"/>
      <c r="F1069" s="57"/>
      <c r="G1069" s="57"/>
      <c r="H1069" s="57"/>
      <c r="I1069" s="57"/>
    </row>
    <row r="1070">
      <c r="E1070" s="57"/>
      <c r="F1070" s="57"/>
      <c r="G1070" s="57"/>
      <c r="H1070" s="57"/>
      <c r="I1070" s="57"/>
    </row>
    <row r="1071">
      <c r="E1071" s="57"/>
      <c r="F1071" s="57"/>
      <c r="G1071" s="57"/>
      <c r="H1071" s="57"/>
      <c r="I1071" s="57"/>
    </row>
    <row r="1072">
      <c r="E1072" s="57"/>
      <c r="F1072" s="57"/>
      <c r="G1072" s="57"/>
      <c r="H1072" s="57"/>
      <c r="I1072" s="57"/>
    </row>
    <row r="1073">
      <c r="E1073" s="57"/>
      <c r="F1073" s="57"/>
      <c r="G1073" s="57"/>
      <c r="H1073" s="57"/>
      <c r="I1073" s="57"/>
    </row>
    <row r="1074">
      <c r="E1074" s="57"/>
      <c r="F1074" s="57"/>
      <c r="G1074" s="57"/>
      <c r="H1074" s="57"/>
      <c r="I1074" s="57"/>
    </row>
    <row r="1075">
      <c r="E1075" s="57"/>
      <c r="F1075" s="57"/>
      <c r="G1075" s="57"/>
      <c r="H1075" s="57"/>
      <c r="I1075" s="57"/>
    </row>
    <row r="1076">
      <c r="E1076" s="57"/>
      <c r="F1076" s="57"/>
      <c r="G1076" s="57"/>
      <c r="H1076" s="57"/>
      <c r="I1076" s="57"/>
    </row>
    <row r="1077">
      <c r="E1077" s="57"/>
      <c r="F1077" s="57"/>
      <c r="G1077" s="57"/>
      <c r="H1077" s="57"/>
      <c r="I1077" s="57"/>
    </row>
    <row r="1078">
      <c r="E1078" s="57"/>
      <c r="F1078" s="57"/>
      <c r="G1078" s="57"/>
      <c r="H1078" s="57"/>
      <c r="I1078" s="57"/>
    </row>
    <row r="1079">
      <c r="E1079" s="57"/>
      <c r="F1079" s="57"/>
      <c r="G1079" s="57"/>
      <c r="H1079" s="57"/>
      <c r="I1079" s="57"/>
    </row>
    <row r="1080">
      <c r="E1080" s="57"/>
      <c r="F1080" s="57"/>
      <c r="G1080" s="57"/>
      <c r="H1080" s="57"/>
      <c r="I1080" s="57"/>
    </row>
    <row r="1081">
      <c r="E1081" s="57"/>
      <c r="F1081" s="57"/>
      <c r="G1081" s="57"/>
      <c r="H1081" s="57"/>
      <c r="I1081" s="57"/>
    </row>
    <row r="1082">
      <c r="E1082" s="57"/>
      <c r="F1082" s="57"/>
      <c r="G1082" s="57"/>
      <c r="H1082" s="57"/>
      <c r="I1082" s="57"/>
    </row>
    <row r="1083">
      <c r="E1083" s="57"/>
      <c r="F1083" s="57"/>
      <c r="G1083" s="57"/>
      <c r="H1083" s="57"/>
      <c r="I1083" s="57"/>
    </row>
    <row r="1084">
      <c r="E1084" s="57"/>
      <c r="F1084" s="57"/>
      <c r="G1084" s="57"/>
      <c r="H1084" s="57"/>
      <c r="I1084" s="57"/>
    </row>
    <row r="1085">
      <c r="E1085" s="57"/>
      <c r="F1085" s="57"/>
      <c r="G1085" s="57"/>
      <c r="H1085" s="57"/>
      <c r="I1085" s="57"/>
    </row>
    <row r="1086">
      <c r="E1086" s="57"/>
      <c r="F1086" s="57"/>
      <c r="G1086" s="57"/>
      <c r="H1086" s="57"/>
      <c r="I1086" s="57"/>
    </row>
    <row r="1087">
      <c r="E1087" s="57"/>
      <c r="F1087" s="57"/>
      <c r="G1087" s="57"/>
      <c r="H1087" s="57"/>
      <c r="I1087" s="57"/>
    </row>
    <row r="1088">
      <c r="E1088" s="57"/>
      <c r="F1088" s="57"/>
      <c r="G1088" s="57"/>
      <c r="H1088" s="57"/>
      <c r="I1088" s="57"/>
    </row>
    <row r="1089">
      <c r="E1089" s="57"/>
      <c r="F1089" s="57"/>
      <c r="G1089" s="57"/>
      <c r="H1089" s="57"/>
      <c r="I1089" s="57"/>
    </row>
    <row r="1090">
      <c r="E1090" s="57"/>
      <c r="F1090" s="57"/>
      <c r="G1090" s="57"/>
      <c r="H1090" s="57"/>
      <c r="I1090" s="57"/>
    </row>
    <row r="1091">
      <c r="E1091" s="57"/>
      <c r="F1091" s="57"/>
      <c r="G1091" s="57"/>
      <c r="H1091" s="57"/>
      <c r="I1091" s="57"/>
    </row>
    <row r="1092">
      <c r="E1092" s="57"/>
      <c r="F1092" s="57"/>
      <c r="G1092" s="57"/>
      <c r="H1092" s="57"/>
      <c r="I1092" s="57"/>
    </row>
    <row r="1093">
      <c r="E1093" s="57"/>
      <c r="F1093" s="57"/>
      <c r="G1093" s="57"/>
      <c r="H1093" s="57"/>
      <c r="I1093" s="57"/>
    </row>
    <row r="1094">
      <c r="E1094" s="57"/>
      <c r="F1094" s="57"/>
      <c r="G1094" s="57"/>
      <c r="H1094" s="57"/>
      <c r="I1094" s="57"/>
    </row>
    <row r="1095">
      <c r="E1095" s="57"/>
      <c r="F1095" s="57"/>
      <c r="G1095" s="57"/>
      <c r="H1095" s="57"/>
      <c r="I1095" s="57"/>
    </row>
    <row r="1096">
      <c r="E1096" s="57"/>
      <c r="F1096" s="57"/>
      <c r="G1096" s="57"/>
      <c r="H1096" s="57"/>
      <c r="I1096" s="57"/>
    </row>
    <row r="1097">
      <c r="E1097" s="57"/>
      <c r="F1097" s="57"/>
      <c r="G1097" s="57"/>
      <c r="H1097" s="57"/>
      <c r="I1097" s="57"/>
    </row>
    <row r="1098">
      <c r="E1098" s="57"/>
      <c r="F1098" s="57"/>
      <c r="G1098" s="57"/>
      <c r="H1098" s="57"/>
      <c r="I1098" s="57"/>
    </row>
    <row r="1099">
      <c r="E1099" s="57"/>
      <c r="F1099" s="57"/>
      <c r="G1099" s="57"/>
      <c r="H1099" s="57"/>
      <c r="I1099" s="57"/>
    </row>
    <row r="1100">
      <c r="E1100" s="57"/>
      <c r="F1100" s="57"/>
      <c r="G1100" s="57"/>
      <c r="H1100" s="57"/>
      <c r="I1100" s="57"/>
    </row>
    <row r="1101">
      <c r="E1101" s="57"/>
      <c r="F1101" s="57"/>
      <c r="G1101" s="57"/>
      <c r="H1101" s="57"/>
      <c r="I1101" s="57"/>
    </row>
    <row r="1102">
      <c r="E1102" s="57"/>
      <c r="F1102" s="57"/>
      <c r="G1102" s="57"/>
      <c r="H1102" s="57"/>
      <c r="I1102" s="57"/>
    </row>
    <row r="1103">
      <c r="E1103" s="57"/>
      <c r="F1103" s="57"/>
      <c r="G1103" s="57"/>
      <c r="H1103" s="57"/>
      <c r="I1103" s="57"/>
    </row>
    <row r="1104">
      <c r="E1104" s="57"/>
      <c r="F1104" s="57"/>
      <c r="G1104" s="57"/>
      <c r="H1104" s="57"/>
      <c r="I1104" s="57"/>
    </row>
    <row r="1105">
      <c r="E1105" s="57"/>
      <c r="F1105" s="57"/>
      <c r="G1105" s="57"/>
      <c r="H1105" s="57"/>
      <c r="I1105" s="57"/>
    </row>
    <row r="1106">
      <c r="E1106" s="57"/>
      <c r="F1106" s="57"/>
      <c r="G1106" s="57"/>
      <c r="H1106" s="57"/>
      <c r="I1106" s="57"/>
    </row>
    <row r="1107">
      <c r="E1107" s="57"/>
      <c r="F1107" s="57"/>
      <c r="G1107" s="57"/>
      <c r="H1107" s="57"/>
      <c r="I1107" s="57"/>
    </row>
    <row r="1108">
      <c r="E1108" s="57"/>
      <c r="F1108" s="57"/>
      <c r="G1108" s="57"/>
      <c r="H1108" s="57"/>
      <c r="I1108" s="57"/>
    </row>
    <row r="1109">
      <c r="E1109" s="57"/>
      <c r="F1109" s="57"/>
      <c r="G1109" s="57"/>
      <c r="H1109" s="57"/>
      <c r="I1109" s="57"/>
    </row>
    <row r="1110">
      <c r="E1110" s="57"/>
      <c r="F1110" s="57"/>
      <c r="G1110" s="57"/>
      <c r="H1110" s="57"/>
      <c r="I1110" s="57"/>
    </row>
    <row r="1111">
      <c r="E1111" s="57"/>
      <c r="F1111" s="57"/>
      <c r="G1111" s="57"/>
      <c r="H1111" s="57"/>
      <c r="I1111" s="57"/>
    </row>
    <row r="1112">
      <c r="E1112" s="57"/>
      <c r="F1112" s="57"/>
      <c r="G1112" s="57"/>
      <c r="H1112" s="57"/>
      <c r="I1112" s="57"/>
    </row>
    <row r="1113">
      <c r="E1113" s="57"/>
      <c r="F1113" s="57"/>
      <c r="G1113" s="57"/>
      <c r="H1113" s="57"/>
      <c r="I1113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7.38"/>
  </cols>
  <sheetData>
    <row r="1">
      <c r="A1" s="64" t="s">
        <v>464</v>
      </c>
      <c r="B1" s="49"/>
      <c r="C1" s="49"/>
      <c r="D1" s="60"/>
      <c r="E1" s="60"/>
      <c r="F1" s="57"/>
      <c r="G1" s="57"/>
    </row>
    <row r="2">
      <c r="A2" s="49" t="s">
        <v>465</v>
      </c>
      <c r="B2" s="49" t="s">
        <v>466</v>
      </c>
      <c r="C2" s="49" t="s">
        <v>404</v>
      </c>
      <c r="D2" s="60" t="s">
        <v>318</v>
      </c>
      <c r="E2" s="60" t="s">
        <v>330</v>
      </c>
      <c r="F2" s="57"/>
      <c r="G2" s="57"/>
    </row>
    <row r="3">
      <c r="A3" s="49" t="s">
        <v>465</v>
      </c>
      <c r="B3" s="49" t="s">
        <v>467</v>
      </c>
      <c r="C3" s="49" t="s">
        <v>404</v>
      </c>
      <c r="D3" s="60" t="s">
        <v>318</v>
      </c>
      <c r="E3" s="60" t="s">
        <v>330</v>
      </c>
      <c r="F3" s="57"/>
      <c r="G3" s="57"/>
    </row>
    <row r="4">
      <c r="A4" s="49" t="s">
        <v>465</v>
      </c>
      <c r="B4" s="49" t="s">
        <v>468</v>
      </c>
      <c r="C4" s="49" t="s">
        <v>404</v>
      </c>
      <c r="D4" s="60" t="s">
        <v>318</v>
      </c>
      <c r="E4" s="60" t="s">
        <v>330</v>
      </c>
      <c r="F4" s="57"/>
      <c r="G4" s="57"/>
    </row>
    <row r="5">
      <c r="A5" s="49" t="s">
        <v>465</v>
      </c>
      <c r="B5" s="49" t="s">
        <v>469</v>
      </c>
      <c r="C5" s="49" t="s">
        <v>448</v>
      </c>
      <c r="D5" s="60" t="s">
        <v>470</v>
      </c>
      <c r="E5" s="60" t="s">
        <v>414</v>
      </c>
      <c r="F5" s="60" t="s">
        <v>413</v>
      </c>
      <c r="G5" s="60" t="s">
        <v>471</v>
      </c>
    </row>
    <row r="6">
      <c r="A6" s="49" t="s">
        <v>465</v>
      </c>
      <c r="B6" s="49" t="s">
        <v>472</v>
      </c>
      <c r="C6" s="49" t="s">
        <v>448</v>
      </c>
      <c r="D6" s="60" t="s">
        <v>470</v>
      </c>
      <c r="E6" s="60" t="s">
        <v>414</v>
      </c>
      <c r="F6" s="60" t="s">
        <v>413</v>
      </c>
      <c r="G6" s="60" t="s">
        <v>471</v>
      </c>
    </row>
    <row r="7">
      <c r="A7" s="49" t="s">
        <v>465</v>
      </c>
      <c r="B7" s="49" t="s">
        <v>473</v>
      </c>
      <c r="C7" s="49" t="s">
        <v>448</v>
      </c>
      <c r="D7" s="60" t="s">
        <v>470</v>
      </c>
      <c r="E7" s="60" t="s">
        <v>414</v>
      </c>
      <c r="F7" s="60" t="s">
        <v>413</v>
      </c>
      <c r="G7" s="60" t="s">
        <v>471</v>
      </c>
    </row>
    <row r="8">
      <c r="A8" s="49" t="s">
        <v>474</v>
      </c>
      <c r="B8" s="49" t="s">
        <v>475</v>
      </c>
      <c r="C8" s="49" t="s">
        <v>404</v>
      </c>
      <c r="D8" s="60" t="s">
        <v>476</v>
      </c>
      <c r="E8" s="60" t="s">
        <v>477</v>
      </c>
      <c r="F8" s="57"/>
      <c r="G8" s="57"/>
    </row>
    <row r="9">
      <c r="A9" s="49" t="s">
        <v>474</v>
      </c>
      <c r="B9" s="49" t="s">
        <v>478</v>
      </c>
      <c r="C9" s="49" t="s">
        <v>479</v>
      </c>
      <c r="D9" s="60" t="s">
        <v>480</v>
      </c>
      <c r="E9" s="60" t="s">
        <v>481</v>
      </c>
      <c r="F9" s="60" t="s">
        <v>482</v>
      </c>
      <c r="G9" s="57"/>
    </row>
    <row r="10">
      <c r="A10" s="49" t="s">
        <v>474</v>
      </c>
      <c r="B10" s="49" t="s">
        <v>483</v>
      </c>
      <c r="C10" s="49" t="s">
        <v>479</v>
      </c>
      <c r="D10" s="60" t="s">
        <v>480</v>
      </c>
      <c r="E10" s="60" t="s">
        <v>481</v>
      </c>
      <c r="F10" s="60" t="s">
        <v>482</v>
      </c>
      <c r="G10" s="57"/>
    </row>
    <row r="11">
      <c r="A11" s="49" t="s">
        <v>474</v>
      </c>
      <c r="B11" s="49" t="s">
        <v>484</v>
      </c>
      <c r="C11" s="49" t="s">
        <v>479</v>
      </c>
      <c r="D11" s="60" t="s">
        <v>480</v>
      </c>
      <c r="E11" s="60" t="s">
        <v>481</v>
      </c>
      <c r="F11" s="60" t="s">
        <v>482</v>
      </c>
      <c r="G11" s="57"/>
    </row>
    <row r="12">
      <c r="A12" s="49" t="s">
        <v>474</v>
      </c>
      <c r="B12" s="49" t="s">
        <v>485</v>
      </c>
      <c r="C12" s="49" t="s">
        <v>479</v>
      </c>
      <c r="D12" s="60" t="s">
        <v>481</v>
      </c>
      <c r="E12" s="60" t="s">
        <v>482</v>
      </c>
      <c r="F12" s="57"/>
      <c r="G12" s="57"/>
    </row>
    <row r="13">
      <c r="A13" s="49" t="s">
        <v>486</v>
      </c>
      <c r="B13" s="49" t="s">
        <v>487</v>
      </c>
      <c r="C13" s="49" t="s">
        <v>479</v>
      </c>
      <c r="D13" s="60" t="s">
        <v>480</v>
      </c>
      <c r="E13" s="60" t="s">
        <v>481</v>
      </c>
      <c r="F13" s="60" t="s">
        <v>482</v>
      </c>
      <c r="G13" s="57"/>
    </row>
    <row r="14">
      <c r="A14" s="49" t="s">
        <v>486</v>
      </c>
      <c r="B14" s="49" t="s">
        <v>488</v>
      </c>
      <c r="C14" s="49" t="s">
        <v>479</v>
      </c>
      <c r="D14" s="60" t="s">
        <v>480</v>
      </c>
      <c r="E14" s="60" t="s">
        <v>481</v>
      </c>
      <c r="F14" s="60" t="s">
        <v>482</v>
      </c>
      <c r="G14" s="57"/>
    </row>
    <row r="15">
      <c r="A15" s="49" t="s">
        <v>486</v>
      </c>
      <c r="B15" s="49" t="s">
        <v>489</v>
      </c>
      <c r="C15" s="49" t="s">
        <v>479</v>
      </c>
      <c r="D15" s="60" t="s">
        <v>480</v>
      </c>
      <c r="E15" s="60" t="s">
        <v>481</v>
      </c>
      <c r="F15" s="60" t="s">
        <v>482</v>
      </c>
      <c r="G15" s="57"/>
    </row>
    <row r="16">
      <c r="A16" s="49" t="s">
        <v>490</v>
      </c>
      <c r="B16" s="49" t="s">
        <v>491</v>
      </c>
      <c r="C16" s="49" t="s">
        <v>479</v>
      </c>
      <c r="D16" s="60" t="s">
        <v>480</v>
      </c>
      <c r="E16" s="60" t="s">
        <v>481</v>
      </c>
      <c r="F16" s="60" t="s">
        <v>482</v>
      </c>
      <c r="G16" s="57"/>
    </row>
    <row r="17">
      <c r="A17" s="49" t="s">
        <v>490</v>
      </c>
      <c r="B17" s="49" t="s">
        <v>492</v>
      </c>
      <c r="C17" s="49" t="s">
        <v>479</v>
      </c>
      <c r="D17" s="60" t="s">
        <v>480</v>
      </c>
      <c r="E17" s="60" t="s">
        <v>481</v>
      </c>
      <c r="F17" s="60" t="s">
        <v>482</v>
      </c>
      <c r="G17" s="57"/>
    </row>
    <row r="18">
      <c r="A18" s="49" t="s">
        <v>490</v>
      </c>
      <c r="B18" s="49" t="s">
        <v>493</v>
      </c>
      <c r="C18" s="49"/>
      <c r="D18" s="60"/>
      <c r="E18" s="60"/>
      <c r="F18" s="57"/>
      <c r="G18" s="57"/>
    </row>
    <row r="19">
      <c r="A19" s="49" t="s">
        <v>490</v>
      </c>
      <c r="B19" s="49" t="s">
        <v>494</v>
      </c>
      <c r="C19" s="49"/>
      <c r="D19" s="60"/>
      <c r="E19" s="60"/>
      <c r="F19" s="57"/>
      <c r="G19" s="57"/>
    </row>
    <row r="20">
      <c r="A20" s="49" t="s">
        <v>495</v>
      </c>
      <c r="B20" s="49" t="s">
        <v>496</v>
      </c>
      <c r="C20" s="49"/>
      <c r="D20" s="60"/>
      <c r="E20" s="60"/>
      <c r="F20" s="57"/>
      <c r="G20" s="57"/>
    </row>
    <row r="21">
      <c r="A21" s="49" t="s">
        <v>495</v>
      </c>
      <c r="B21" s="49" t="s">
        <v>497</v>
      </c>
      <c r="C21" s="49"/>
      <c r="D21" s="60"/>
      <c r="E21" s="60"/>
      <c r="F21" s="57"/>
      <c r="G21" s="57"/>
    </row>
    <row r="22">
      <c r="A22" s="49" t="s">
        <v>495</v>
      </c>
      <c r="B22" s="49" t="s">
        <v>498</v>
      </c>
      <c r="C22" s="49"/>
      <c r="D22" s="60"/>
      <c r="E22" s="60"/>
      <c r="F22" s="57"/>
      <c r="G22" s="57"/>
    </row>
    <row r="23">
      <c r="A23" s="49" t="s">
        <v>495</v>
      </c>
      <c r="B23" s="49" t="s">
        <v>499</v>
      </c>
      <c r="C23" s="49"/>
      <c r="D23" s="60"/>
      <c r="E23" s="60"/>
      <c r="F23" s="57"/>
      <c r="G23" s="57"/>
    </row>
    <row r="24">
      <c r="A24" s="49" t="s">
        <v>495</v>
      </c>
      <c r="B24" s="49" t="s">
        <v>500</v>
      </c>
      <c r="C24" s="49"/>
      <c r="D24" s="60"/>
      <c r="E24" s="60"/>
      <c r="F24" s="57"/>
      <c r="G24" s="57"/>
    </row>
    <row r="25">
      <c r="A25" s="49" t="s">
        <v>501</v>
      </c>
      <c r="B25" s="49" t="s">
        <v>502</v>
      </c>
      <c r="C25" s="49"/>
      <c r="D25" s="60"/>
      <c r="E25" s="60"/>
      <c r="F25" s="57"/>
      <c r="G25" s="57"/>
    </row>
    <row r="26">
      <c r="A26" s="49" t="s">
        <v>501</v>
      </c>
      <c r="B26" s="49" t="s">
        <v>503</v>
      </c>
      <c r="C26" s="49"/>
      <c r="D26" s="60"/>
      <c r="E26" s="60"/>
      <c r="F26" s="57"/>
      <c r="G26" s="57"/>
    </row>
    <row r="27">
      <c r="A27" s="49" t="s">
        <v>501</v>
      </c>
      <c r="B27" s="49" t="s">
        <v>504</v>
      </c>
      <c r="C27" s="49"/>
      <c r="D27" s="60"/>
      <c r="E27" s="60"/>
      <c r="F27" s="57"/>
      <c r="G27" s="57"/>
    </row>
    <row r="28">
      <c r="A28" s="49" t="s">
        <v>501</v>
      </c>
      <c r="B28" s="49" t="s">
        <v>505</v>
      </c>
      <c r="C28" s="49"/>
      <c r="D28" s="60"/>
      <c r="E28" s="60"/>
      <c r="F28" s="57"/>
      <c r="G28" s="57"/>
    </row>
    <row r="29">
      <c r="A29" s="49" t="s">
        <v>501</v>
      </c>
      <c r="B29" s="49" t="s">
        <v>506</v>
      </c>
      <c r="C29" s="49"/>
      <c r="D29" s="60"/>
      <c r="E29" s="60"/>
      <c r="F29" s="57"/>
      <c r="G29" s="57"/>
    </row>
    <row r="30">
      <c r="A30" s="49" t="s">
        <v>501</v>
      </c>
      <c r="B30" s="49" t="s">
        <v>507</v>
      </c>
      <c r="C30" s="49"/>
      <c r="D30" s="60"/>
      <c r="E30" s="60"/>
      <c r="F30" s="57"/>
      <c r="G30" s="57"/>
    </row>
    <row r="31">
      <c r="A31" s="49" t="s">
        <v>501</v>
      </c>
      <c r="B31" s="49" t="s">
        <v>508</v>
      </c>
      <c r="C31" s="49"/>
      <c r="D31" s="60"/>
      <c r="E31" s="60"/>
      <c r="F31" s="57"/>
      <c r="G31" s="57"/>
    </row>
    <row r="32">
      <c r="A32" s="49" t="s">
        <v>501</v>
      </c>
      <c r="B32" s="49" t="s">
        <v>509</v>
      </c>
      <c r="C32" s="49"/>
      <c r="D32" s="60"/>
      <c r="E32" s="60"/>
      <c r="F32" s="57"/>
      <c r="G32" s="57"/>
    </row>
    <row r="33">
      <c r="A33" s="49" t="s">
        <v>510</v>
      </c>
      <c r="B33" s="49" t="s">
        <v>511</v>
      </c>
      <c r="C33" s="49"/>
      <c r="D33" s="60"/>
      <c r="E33" s="60"/>
      <c r="F33" s="57"/>
      <c r="G33" s="57"/>
    </row>
    <row r="34">
      <c r="A34" s="49" t="s">
        <v>510</v>
      </c>
      <c r="B34" s="49" t="s">
        <v>512</v>
      </c>
      <c r="C34" s="49"/>
      <c r="D34" s="60"/>
      <c r="E34" s="60"/>
      <c r="F34" s="57"/>
      <c r="G34" s="57"/>
    </row>
    <row r="35">
      <c r="A35" s="49" t="s">
        <v>510</v>
      </c>
      <c r="B35" s="49" t="s">
        <v>513</v>
      </c>
      <c r="C35" s="49"/>
      <c r="D35" s="60"/>
      <c r="E35" s="60"/>
      <c r="F35" s="57"/>
      <c r="G35" s="57"/>
    </row>
    <row r="36">
      <c r="A36" s="49" t="s">
        <v>510</v>
      </c>
      <c r="B36" s="49" t="s">
        <v>514</v>
      </c>
      <c r="C36" s="49"/>
      <c r="D36" s="60"/>
      <c r="E36" s="60"/>
      <c r="F36" s="57"/>
      <c r="G36" s="57"/>
    </row>
    <row r="37">
      <c r="A37" s="49" t="s">
        <v>510</v>
      </c>
      <c r="B37" s="49" t="s">
        <v>515</v>
      </c>
      <c r="C37" s="49"/>
      <c r="D37" s="60"/>
      <c r="E37" s="60"/>
      <c r="F37" s="57"/>
      <c r="G37" s="57"/>
    </row>
    <row r="38">
      <c r="A38" s="49" t="s">
        <v>510</v>
      </c>
      <c r="B38" s="49" t="s">
        <v>516</v>
      </c>
      <c r="C38" s="49"/>
      <c r="D38" s="60"/>
      <c r="E38" s="60"/>
      <c r="F38" s="57"/>
      <c r="G38" s="57"/>
    </row>
    <row r="39">
      <c r="A39" s="49" t="s">
        <v>517</v>
      </c>
      <c r="B39" s="49" t="s">
        <v>518</v>
      </c>
      <c r="C39" s="49"/>
      <c r="D39" s="60"/>
      <c r="E39" s="60"/>
      <c r="F39" s="57"/>
      <c r="G39" s="57"/>
    </row>
    <row r="40">
      <c r="A40" s="49" t="s">
        <v>517</v>
      </c>
      <c r="B40" s="49" t="s">
        <v>519</v>
      </c>
      <c r="C40" s="49"/>
      <c r="D40" s="60"/>
      <c r="E40" s="60"/>
      <c r="F40" s="57"/>
      <c r="G40" s="57"/>
    </row>
    <row r="41">
      <c r="A41" s="49" t="s">
        <v>517</v>
      </c>
      <c r="B41" s="49" t="s">
        <v>520</v>
      </c>
      <c r="C41" s="49"/>
      <c r="D41" s="60"/>
      <c r="E41" s="60"/>
      <c r="F41" s="57"/>
      <c r="G41" s="57"/>
    </row>
    <row r="42">
      <c r="A42" s="49" t="s">
        <v>517</v>
      </c>
      <c r="B42" s="49" t="s">
        <v>521</v>
      </c>
      <c r="C42" s="49"/>
      <c r="D42" s="60"/>
      <c r="E42" s="60"/>
      <c r="F42" s="57"/>
      <c r="G42" s="57"/>
    </row>
    <row r="43">
      <c r="A43" s="49" t="s">
        <v>522</v>
      </c>
      <c r="B43" s="49" t="s">
        <v>523</v>
      </c>
      <c r="C43" s="49"/>
      <c r="D43" s="60"/>
      <c r="E43" s="60"/>
      <c r="F43" s="57"/>
      <c r="G43" s="57"/>
    </row>
    <row r="44">
      <c r="A44" s="49" t="s">
        <v>522</v>
      </c>
      <c r="B44" s="49" t="s">
        <v>524</v>
      </c>
      <c r="C44" s="49"/>
      <c r="D44" s="60"/>
      <c r="E44" s="60"/>
      <c r="F44" s="57"/>
      <c r="G44" s="57"/>
    </row>
    <row r="45">
      <c r="A45" s="49" t="s">
        <v>522</v>
      </c>
      <c r="B45" s="49" t="s">
        <v>525</v>
      </c>
      <c r="C45" s="49"/>
      <c r="D45" s="60"/>
      <c r="E45" s="60"/>
      <c r="F45" s="57"/>
      <c r="G45" s="57"/>
    </row>
    <row r="46">
      <c r="A46" s="49" t="s">
        <v>522</v>
      </c>
      <c r="B46" s="49" t="s">
        <v>526</v>
      </c>
      <c r="C46" s="49"/>
      <c r="D46" s="60"/>
      <c r="E46" s="60"/>
      <c r="F46" s="57"/>
      <c r="G46" s="57"/>
    </row>
    <row r="47">
      <c r="A47" s="49" t="s">
        <v>522</v>
      </c>
      <c r="B47" s="49" t="s">
        <v>527</v>
      </c>
      <c r="C47" s="49"/>
      <c r="D47" s="60"/>
      <c r="E47" s="60"/>
      <c r="F47" s="57"/>
      <c r="G47" s="57"/>
    </row>
    <row r="48">
      <c r="A48" s="49" t="s">
        <v>528</v>
      </c>
      <c r="B48" s="49" t="s">
        <v>529</v>
      </c>
      <c r="C48" s="49"/>
      <c r="D48" s="60"/>
      <c r="E48" s="60"/>
      <c r="F48" s="57"/>
      <c r="G48" s="57"/>
    </row>
    <row r="49">
      <c r="A49" s="49" t="s">
        <v>528</v>
      </c>
      <c r="B49" s="49" t="s">
        <v>530</v>
      </c>
      <c r="C49" s="49"/>
      <c r="D49" s="60"/>
      <c r="E49" s="60"/>
      <c r="F49" s="57"/>
      <c r="G49" s="57"/>
    </row>
    <row r="50">
      <c r="A50" s="49" t="s">
        <v>528</v>
      </c>
      <c r="B50" s="49" t="s">
        <v>531</v>
      </c>
      <c r="C50" s="49"/>
      <c r="D50" s="60"/>
      <c r="E50" s="60"/>
      <c r="F50" s="57"/>
      <c r="G50" s="57"/>
    </row>
    <row r="51">
      <c r="A51" s="49" t="s">
        <v>528</v>
      </c>
      <c r="B51" s="49" t="s">
        <v>532</v>
      </c>
      <c r="C51" s="49"/>
      <c r="D51" s="60"/>
      <c r="E51" s="60"/>
      <c r="F51" s="57"/>
      <c r="G51" s="57"/>
    </row>
    <row r="52">
      <c r="A52" s="49" t="s">
        <v>528</v>
      </c>
      <c r="B52" s="49" t="s">
        <v>533</v>
      </c>
      <c r="C52" s="49"/>
      <c r="D52" s="60"/>
      <c r="E52" s="60"/>
      <c r="F52" s="57"/>
      <c r="G52" s="57"/>
    </row>
    <row r="53">
      <c r="A53" s="62"/>
      <c r="B53" s="49"/>
      <c r="C53" s="49"/>
      <c r="D53" s="60"/>
      <c r="E53" s="60"/>
      <c r="F53" s="57"/>
      <c r="G53" s="57"/>
    </row>
    <row r="54">
      <c r="A54" s="62"/>
      <c r="B54" s="49"/>
      <c r="C54" s="49"/>
      <c r="D54" s="60"/>
      <c r="E54" s="60"/>
      <c r="F54" s="57"/>
      <c r="G54" s="57"/>
    </row>
    <row r="55">
      <c r="A55" s="62"/>
      <c r="B55" s="49"/>
      <c r="C55" s="49"/>
      <c r="D55" s="60"/>
      <c r="E55" s="60"/>
      <c r="F55" s="57"/>
      <c r="G55" s="57"/>
    </row>
    <row r="56">
      <c r="A56" s="62"/>
      <c r="B56" s="49"/>
      <c r="C56" s="49"/>
      <c r="D56" s="60"/>
      <c r="E56" s="60"/>
      <c r="F56" s="57"/>
      <c r="G56" s="57"/>
    </row>
    <row r="57">
      <c r="A57" s="62"/>
      <c r="B57" s="49"/>
      <c r="C57" s="49"/>
      <c r="D57" s="60"/>
      <c r="E57" s="60"/>
      <c r="F57" s="57"/>
      <c r="G57" s="57"/>
    </row>
    <row r="58">
      <c r="A58" s="62"/>
      <c r="B58" s="49"/>
      <c r="C58" s="49"/>
      <c r="D58" s="60"/>
      <c r="E58" s="60"/>
      <c r="F58" s="57"/>
      <c r="G58" s="57"/>
    </row>
    <row r="59">
      <c r="A59" s="62"/>
      <c r="B59" s="49"/>
      <c r="C59" s="49"/>
      <c r="D59" s="60"/>
      <c r="E59" s="60"/>
      <c r="F59" s="57"/>
      <c r="G59" s="57"/>
    </row>
    <row r="60">
      <c r="A60" s="62"/>
      <c r="B60" s="49"/>
      <c r="C60" s="49"/>
      <c r="D60" s="65">
        <v>45660.0</v>
      </c>
      <c r="E60" s="65">
        <v>45754.0</v>
      </c>
      <c r="F60" s="57"/>
      <c r="G60" s="57"/>
    </row>
    <row r="61">
      <c r="A61" s="62" t="s">
        <v>534</v>
      </c>
      <c r="B61" s="49" t="s">
        <v>535</v>
      </c>
      <c r="C61" s="49" t="s">
        <v>448</v>
      </c>
      <c r="D61" s="60" t="s">
        <v>536</v>
      </c>
      <c r="E61" s="60" t="s">
        <v>537</v>
      </c>
      <c r="F61" s="60" t="s">
        <v>538</v>
      </c>
      <c r="G61" s="60" t="s">
        <v>539</v>
      </c>
    </row>
    <row r="62">
      <c r="A62" s="62" t="s">
        <v>534</v>
      </c>
      <c r="B62" s="49" t="s">
        <v>540</v>
      </c>
      <c r="C62" s="49" t="s">
        <v>448</v>
      </c>
      <c r="D62" s="60" t="s">
        <v>536</v>
      </c>
      <c r="E62" s="60" t="s">
        <v>537</v>
      </c>
      <c r="F62" s="60" t="s">
        <v>538</v>
      </c>
      <c r="G62" s="60" t="s">
        <v>539</v>
      </c>
    </row>
    <row r="63">
      <c r="A63" s="62" t="s">
        <v>534</v>
      </c>
      <c r="B63" s="49" t="s">
        <v>541</v>
      </c>
      <c r="C63" s="49" t="s">
        <v>448</v>
      </c>
      <c r="D63" s="60"/>
      <c r="E63" s="60"/>
      <c r="F63" s="60"/>
      <c r="G63" s="60"/>
    </row>
    <row r="64">
      <c r="A64" s="62" t="s">
        <v>534</v>
      </c>
      <c r="B64" s="49" t="s">
        <v>542</v>
      </c>
      <c r="C64" s="49" t="s">
        <v>448</v>
      </c>
      <c r="D64" s="57"/>
      <c r="E64" s="57"/>
      <c r="F64" s="57"/>
      <c r="G64" s="57"/>
    </row>
    <row r="65">
      <c r="A65" s="62" t="s">
        <v>534</v>
      </c>
      <c r="B65" s="49" t="s">
        <v>543</v>
      </c>
      <c r="C65" s="49" t="s">
        <v>448</v>
      </c>
      <c r="D65" s="57"/>
      <c r="E65" s="57"/>
      <c r="F65" s="57"/>
      <c r="G65" s="57"/>
    </row>
    <row r="66">
      <c r="A66" s="62" t="s">
        <v>534</v>
      </c>
      <c r="B66" s="49" t="s">
        <v>543</v>
      </c>
      <c r="C66" s="49" t="s">
        <v>448</v>
      </c>
      <c r="D66" s="60"/>
      <c r="E66" s="60"/>
      <c r="F66" s="60"/>
      <c r="G66" s="60"/>
    </row>
    <row r="67">
      <c r="A67" s="62"/>
      <c r="B67" s="49"/>
      <c r="C67" s="49"/>
      <c r="D67" s="60"/>
      <c r="E67" s="60"/>
      <c r="F67" s="60"/>
      <c r="G67" s="60"/>
    </row>
    <row r="68">
      <c r="A68" s="62"/>
      <c r="B68" s="49"/>
      <c r="C68" s="49"/>
      <c r="D68" s="60"/>
      <c r="E68" s="60"/>
      <c r="F68" s="60"/>
      <c r="G68" s="60"/>
    </row>
    <row r="69">
      <c r="A69" s="62"/>
      <c r="B69" s="49"/>
      <c r="C69" s="49"/>
      <c r="D69" s="60"/>
      <c r="E69" s="60"/>
      <c r="F69" s="60"/>
      <c r="G69" s="60"/>
    </row>
    <row r="70">
      <c r="A70" s="62"/>
      <c r="B70" s="49"/>
      <c r="C70" s="49"/>
      <c r="D70" s="60"/>
      <c r="E70" s="60"/>
      <c r="F70" s="60"/>
      <c r="G70" s="60"/>
    </row>
    <row r="71">
      <c r="A71" s="62"/>
      <c r="B71" s="49"/>
      <c r="C71" s="49"/>
      <c r="D71" s="60"/>
      <c r="E71" s="60"/>
      <c r="F71" s="60"/>
      <c r="G71" s="60"/>
    </row>
    <row r="72">
      <c r="A72" s="62"/>
      <c r="B72" s="49"/>
      <c r="C72" s="49"/>
      <c r="D72" s="60"/>
      <c r="E72" s="60"/>
      <c r="F72" s="60"/>
      <c r="G72" s="60"/>
    </row>
    <row r="73">
      <c r="A73" s="62"/>
      <c r="B73" s="49"/>
      <c r="C73" s="49"/>
      <c r="D73" s="60"/>
      <c r="E73" s="60"/>
      <c r="F73" s="60"/>
      <c r="G73" s="60"/>
    </row>
    <row r="74">
      <c r="A74" s="49"/>
      <c r="D74" s="57"/>
      <c r="E74" s="57"/>
      <c r="F74" s="57"/>
      <c r="G74" s="57"/>
    </row>
    <row r="75">
      <c r="A75" s="49"/>
      <c r="B75" s="49" t="s">
        <v>544</v>
      </c>
      <c r="C75" s="49" t="s">
        <v>479</v>
      </c>
      <c r="D75" s="60" t="s">
        <v>413</v>
      </c>
      <c r="E75" s="60" t="s">
        <v>414</v>
      </c>
      <c r="F75" s="60" t="s">
        <v>545</v>
      </c>
      <c r="G75" s="57"/>
    </row>
    <row r="76">
      <c r="A76" s="49"/>
      <c r="B76" s="49" t="s">
        <v>546</v>
      </c>
      <c r="C76" s="49"/>
      <c r="D76" s="60" t="s">
        <v>365</v>
      </c>
      <c r="E76" s="60" t="s">
        <v>413</v>
      </c>
      <c r="F76" s="60" t="s">
        <v>414</v>
      </c>
      <c r="G76" s="60" t="s">
        <v>547</v>
      </c>
    </row>
    <row r="77">
      <c r="A77" s="49"/>
      <c r="B77" s="49" t="s">
        <v>548</v>
      </c>
      <c r="C77" s="49"/>
      <c r="D77" s="60" t="s">
        <v>365</v>
      </c>
      <c r="E77" s="60" t="s">
        <v>413</v>
      </c>
      <c r="F77" s="60" t="s">
        <v>414</v>
      </c>
      <c r="G77" s="60" t="s">
        <v>547</v>
      </c>
    </row>
    <row r="78">
      <c r="A78" s="49"/>
      <c r="B78" s="49" t="s">
        <v>549</v>
      </c>
      <c r="C78" s="49"/>
      <c r="D78" s="60" t="s">
        <v>413</v>
      </c>
      <c r="E78" s="60" t="s">
        <v>414</v>
      </c>
      <c r="F78" s="60" t="s">
        <v>547</v>
      </c>
      <c r="G78" s="57"/>
    </row>
    <row r="79">
      <c r="A79" s="49"/>
      <c r="B79" s="49" t="s">
        <v>550</v>
      </c>
      <c r="C79" s="49"/>
      <c r="D79" s="60" t="s">
        <v>551</v>
      </c>
      <c r="E79" s="57"/>
      <c r="F79" s="57"/>
      <c r="G79" s="57"/>
    </row>
    <row r="80">
      <c r="A80" s="49"/>
      <c r="B80" s="49" t="s">
        <v>552</v>
      </c>
      <c r="C80" s="49"/>
      <c r="D80" s="60" t="s">
        <v>318</v>
      </c>
      <c r="E80" s="60" t="s">
        <v>330</v>
      </c>
      <c r="F80" s="57"/>
      <c r="G80" s="57"/>
    </row>
    <row r="81">
      <c r="A81" s="49"/>
      <c r="B81" s="49" t="s">
        <v>553</v>
      </c>
      <c r="C81" s="49"/>
      <c r="D81" s="60" t="s">
        <v>554</v>
      </c>
      <c r="E81" s="60" t="s">
        <v>476</v>
      </c>
      <c r="F81" s="60" t="s">
        <v>555</v>
      </c>
      <c r="G81" s="57"/>
    </row>
    <row r="82">
      <c r="D82" s="57"/>
      <c r="E82" s="57"/>
      <c r="F82" s="57"/>
      <c r="G82" s="57"/>
    </row>
    <row r="83">
      <c r="A83" s="49"/>
      <c r="B83" s="49" t="s">
        <v>556</v>
      </c>
      <c r="C83" s="49"/>
      <c r="D83" s="57"/>
      <c r="E83" s="57"/>
      <c r="F83" s="57"/>
      <c r="G83" s="57"/>
    </row>
    <row r="84">
      <c r="D84" s="57"/>
      <c r="E84" s="57"/>
      <c r="F84" s="57"/>
      <c r="G84" s="57"/>
    </row>
    <row r="85">
      <c r="A85" s="49"/>
      <c r="B85" s="49" t="s">
        <v>557</v>
      </c>
      <c r="C85" s="49"/>
      <c r="D85" s="60" t="s">
        <v>558</v>
      </c>
      <c r="E85" s="60" t="s">
        <v>559</v>
      </c>
      <c r="F85" s="60" t="s">
        <v>560</v>
      </c>
      <c r="G85" s="60" t="s">
        <v>561</v>
      </c>
    </row>
    <row r="86">
      <c r="D86" s="57"/>
      <c r="E86" s="57"/>
      <c r="F86" s="57"/>
      <c r="G86" s="57"/>
    </row>
    <row r="87">
      <c r="A87" s="49"/>
      <c r="B87" s="49" t="s">
        <v>562</v>
      </c>
      <c r="C87" s="49"/>
      <c r="D87" s="60" t="s">
        <v>563</v>
      </c>
      <c r="E87" s="60" t="s">
        <v>564</v>
      </c>
      <c r="F87" s="60" t="s">
        <v>565</v>
      </c>
      <c r="G87" s="60" t="s">
        <v>566</v>
      </c>
    </row>
    <row r="88">
      <c r="D88" s="57"/>
      <c r="E88" s="57"/>
      <c r="F88" s="57"/>
      <c r="G88" s="5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75"/>
    <col customWidth="1" min="4" max="4" width="5.0"/>
    <col customWidth="1" min="6" max="6" width="3.75"/>
    <col customWidth="1" min="7" max="7" width="10.88"/>
    <col customWidth="1" min="8" max="8" width="17.88"/>
  </cols>
  <sheetData>
    <row r="2">
      <c r="C2" s="66" t="s">
        <v>567</v>
      </c>
      <c r="D2" s="67"/>
      <c r="E2" s="68" t="s">
        <v>568</v>
      </c>
      <c r="F2" s="67"/>
      <c r="G2" s="66" t="s">
        <v>569</v>
      </c>
      <c r="H2" s="66" t="s">
        <v>570</v>
      </c>
    </row>
    <row r="3">
      <c r="C3" s="69" t="s">
        <v>571</v>
      </c>
      <c r="E3" s="70" t="s">
        <v>394</v>
      </c>
      <c r="G3" s="69" t="s">
        <v>571</v>
      </c>
      <c r="H3" s="69" t="s">
        <v>572</v>
      </c>
    </row>
    <row r="4">
      <c r="C4" s="49" t="s">
        <v>571</v>
      </c>
      <c r="E4" s="70" t="s">
        <v>394</v>
      </c>
      <c r="G4" s="71" t="s">
        <v>573</v>
      </c>
      <c r="H4" s="71" t="s">
        <v>574</v>
      </c>
    </row>
    <row r="5">
      <c r="C5" s="49" t="s">
        <v>573</v>
      </c>
      <c r="E5" s="70" t="s">
        <v>394</v>
      </c>
      <c r="G5" s="49" t="s">
        <v>571</v>
      </c>
      <c r="H5" s="49" t="s">
        <v>575</v>
      </c>
    </row>
    <row r="6">
      <c r="C6" s="49" t="s">
        <v>573</v>
      </c>
      <c r="E6" s="70" t="s">
        <v>394</v>
      </c>
      <c r="G6" s="49" t="s">
        <v>573</v>
      </c>
      <c r="H6" s="49" t="s">
        <v>575</v>
      </c>
    </row>
    <row r="7">
      <c r="E7" s="72"/>
    </row>
    <row r="8">
      <c r="C8" s="49" t="s">
        <v>571</v>
      </c>
      <c r="E8" s="70" t="s">
        <v>392</v>
      </c>
      <c r="G8" s="49" t="s">
        <v>571</v>
      </c>
      <c r="H8" s="73" t="s">
        <v>576</v>
      </c>
    </row>
    <row r="9">
      <c r="C9" s="49" t="s">
        <v>571</v>
      </c>
      <c r="E9" s="70" t="s">
        <v>392</v>
      </c>
      <c r="G9" s="71" t="s">
        <v>573</v>
      </c>
      <c r="H9" s="71" t="s">
        <v>574</v>
      </c>
    </row>
    <row r="10">
      <c r="C10" s="49" t="s">
        <v>573</v>
      </c>
      <c r="E10" s="70" t="s">
        <v>392</v>
      </c>
      <c r="G10" s="49" t="s">
        <v>571</v>
      </c>
      <c r="H10" s="73" t="s">
        <v>576</v>
      </c>
    </row>
    <row r="11">
      <c r="C11" s="49" t="s">
        <v>573</v>
      </c>
      <c r="E11" s="70" t="s">
        <v>392</v>
      </c>
      <c r="G11" s="71" t="s">
        <v>573</v>
      </c>
      <c r="H11" s="71" t="s">
        <v>574</v>
      </c>
    </row>
    <row r="12">
      <c r="E12" s="72"/>
    </row>
    <row r="13">
      <c r="E13" s="70" t="s">
        <v>577</v>
      </c>
      <c r="G13" s="49" t="s">
        <v>571</v>
      </c>
      <c r="H13" s="49" t="s">
        <v>578</v>
      </c>
    </row>
    <row r="14">
      <c r="E14" s="70" t="s">
        <v>577</v>
      </c>
      <c r="G14" s="49" t="s">
        <v>573</v>
      </c>
      <c r="H14" s="49" t="s">
        <v>578</v>
      </c>
    </row>
    <row r="15">
      <c r="E15" s="72"/>
    </row>
    <row r="16">
      <c r="E16" s="74" t="s">
        <v>579</v>
      </c>
      <c r="G16" s="69" t="s">
        <v>571</v>
      </c>
      <c r="H16" s="69" t="s">
        <v>572</v>
      </c>
    </row>
    <row r="17">
      <c r="E17" s="75" t="s">
        <v>579</v>
      </c>
      <c r="G17" s="71" t="s">
        <v>573</v>
      </c>
      <c r="H17" s="71" t="s">
        <v>574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  <col customWidth="1" min="3" max="3" width="33.13"/>
    <col customWidth="1" min="4" max="4" width="31.0"/>
    <col customWidth="1" min="5" max="5" width="25.75"/>
  </cols>
  <sheetData>
    <row r="1">
      <c r="A1" s="76"/>
      <c r="B1" s="77" t="s">
        <v>580</v>
      </c>
      <c r="C1" s="76" t="s">
        <v>581</v>
      </c>
      <c r="D1" s="77" t="s">
        <v>582</v>
      </c>
      <c r="E1" s="76" t="s">
        <v>583</v>
      </c>
      <c r="F1" s="76" t="s">
        <v>584</v>
      </c>
    </row>
    <row r="2">
      <c r="A2" s="59" t="s">
        <v>585</v>
      </c>
      <c r="B2" s="61"/>
      <c r="C2" s="59"/>
      <c r="D2" s="61"/>
      <c r="E2" s="59"/>
      <c r="F2" s="78"/>
    </row>
    <row r="3">
      <c r="B3" s="79" t="s">
        <v>586</v>
      </c>
      <c r="C3" s="59" t="s">
        <v>449</v>
      </c>
      <c r="D3" s="61" t="s">
        <v>587</v>
      </c>
      <c r="E3" s="59" t="s">
        <v>588</v>
      </c>
      <c r="F3" s="78">
        <v>3.0</v>
      </c>
    </row>
    <row r="4">
      <c r="A4" s="80"/>
      <c r="B4" s="79" t="s">
        <v>589</v>
      </c>
      <c r="C4" s="59" t="s">
        <v>456</v>
      </c>
      <c r="D4" s="61" t="s">
        <v>590</v>
      </c>
      <c r="E4" s="59" t="s">
        <v>591</v>
      </c>
      <c r="F4" s="78">
        <v>2.0</v>
      </c>
    </row>
    <row r="5">
      <c r="A5" s="59"/>
      <c r="B5" s="79"/>
      <c r="C5" s="59"/>
      <c r="D5" s="61"/>
      <c r="E5" s="59"/>
      <c r="F5" s="78"/>
    </row>
    <row r="6">
      <c r="A6" s="81" t="s">
        <v>592</v>
      </c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>
      <c r="A7" s="81"/>
      <c r="B7" s="84" t="s">
        <v>593</v>
      </c>
      <c r="C7" s="81" t="s">
        <v>594</v>
      </c>
      <c r="D7" s="81" t="s">
        <v>595</v>
      </c>
      <c r="E7" s="81" t="s">
        <v>596</v>
      </c>
      <c r="F7" s="85">
        <v>4.0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>
      <c r="A8" s="86"/>
      <c r="B8" s="87" t="s">
        <v>597</v>
      </c>
      <c r="C8" s="86"/>
      <c r="D8" s="88"/>
      <c r="E8" s="86"/>
      <c r="F8" s="8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</row>
    <row r="9">
      <c r="A9" s="86"/>
      <c r="B9" s="87"/>
      <c r="C9" s="86"/>
      <c r="D9" s="88"/>
      <c r="E9" s="86"/>
      <c r="F9" s="89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</row>
    <row r="10">
      <c r="A10" s="86"/>
      <c r="B10" s="87"/>
      <c r="C10" s="86" t="s">
        <v>598</v>
      </c>
      <c r="D10" s="88" t="s">
        <v>599</v>
      </c>
      <c r="E10" s="86"/>
      <c r="F10" s="8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</row>
    <row r="11">
      <c r="A11" s="76" t="s">
        <v>600</v>
      </c>
      <c r="B11" s="91"/>
    </row>
    <row r="12">
      <c r="A12" s="59" t="s">
        <v>601</v>
      </c>
      <c r="B12" s="79" t="s">
        <v>602</v>
      </c>
      <c r="C12" s="59" t="s">
        <v>603</v>
      </c>
      <c r="D12" s="61" t="s">
        <v>604</v>
      </c>
      <c r="E12" s="59" t="s">
        <v>605</v>
      </c>
      <c r="F12" s="78">
        <v>1.0</v>
      </c>
    </row>
    <row r="13">
      <c r="A13" s="59"/>
      <c r="B13" s="79"/>
      <c r="C13" s="59"/>
      <c r="D13" s="61"/>
      <c r="E13" s="59"/>
      <c r="F13" s="78"/>
    </row>
    <row r="14">
      <c r="A14" s="76" t="s">
        <v>606</v>
      </c>
      <c r="B14" s="91"/>
    </row>
    <row r="15">
      <c r="A15" s="59" t="s">
        <v>607</v>
      </c>
      <c r="B15" s="79" t="s">
        <v>608</v>
      </c>
      <c r="C15" s="59" t="s">
        <v>609</v>
      </c>
      <c r="D15" s="61" t="s">
        <v>610</v>
      </c>
      <c r="E15" s="59" t="s">
        <v>611</v>
      </c>
      <c r="F15" s="78">
        <v>1.0</v>
      </c>
      <c r="G15" s="49" t="s">
        <v>612</v>
      </c>
    </row>
    <row r="16">
      <c r="A16" s="59"/>
      <c r="B16" s="79"/>
      <c r="C16" s="59"/>
      <c r="D16" s="61"/>
      <c r="E16" s="59"/>
      <c r="F16" s="78"/>
    </row>
    <row r="17">
      <c r="A17" s="92" t="s">
        <v>613</v>
      </c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>
      <c r="A18" s="81"/>
      <c r="B18" s="84" t="s">
        <v>614</v>
      </c>
      <c r="C18" s="81" t="s">
        <v>615</v>
      </c>
      <c r="D18" s="93" t="s">
        <v>616</v>
      </c>
      <c r="E18" s="81" t="s">
        <v>617</v>
      </c>
      <c r="F18" s="85">
        <v>3.0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>
      <c r="A19" s="59"/>
      <c r="B19" s="79"/>
      <c r="C19" s="59"/>
      <c r="D19" s="61"/>
      <c r="E19" s="59"/>
      <c r="F19" s="78"/>
    </row>
    <row r="20">
      <c r="A20" s="81" t="s">
        <v>618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 ht="42.75" customHeight="1">
      <c r="A21" s="81"/>
      <c r="B21" s="84" t="s">
        <v>619</v>
      </c>
      <c r="C21" s="81" t="s">
        <v>620</v>
      </c>
      <c r="D21" s="93" t="s">
        <v>621</v>
      </c>
      <c r="E21" s="81" t="s">
        <v>622</v>
      </c>
      <c r="F21" s="85">
        <v>5.0</v>
      </c>
      <c r="G21" s="49" t="s">
        <v>612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>
      <c r="A22" s="59"/>
      <c r="B22" s="79"/>
      <c r="C22" s="59"/>
      <c r="D22" s="61"/>
      <c r="E22" s="59"/>
      <c r="F22" s="78"/>
    </row>
    <row r="23">
      <c r="A23" s="59" t="s">
        <v>623</v>
      </c>
      <c r="B23" s="79"/>
      <c r="C23" s="59"/>
      <c r="D23" s="61"/>
      <c r="E23" s="59"/>
      <c r="F23" s="78"/>
    </row>
    <row r="24">
      <c r="B24" s="79" t="s">
        <v>624</v>
      </c>
      <c r="C24" s="59" t="s">
        <v>625</v>
      </c>
      <c r="D24" s="61" t="s">
        <v>626</v>
      </c>
      <c r="E24" s="59" t="s">
        <v>627</v>
      </c>
      <c r="F24" s="78">
        <v>1.0</v>
      </c>
    </row>
    <row r="25">
      <c r="A25" s="76" t="s">
        <v>628</v>
      </c>
      <c r="B25" s="94"/>
      <c r="C25" s="95"/>
      <c r="D25" s="94"/>
      <c r="E25" s="95"/>
      <c r="F25" s="76">
        <f>Sum(F3:F24)/40*100</f>
        <v>50</v>
      </c>
    </row>
    <row r="26">
      <c r="A26" s="96"/>
      <c r="B26" s="94"/>
      <c r="C26" s="95"/>
      <c r="D26" s="94"/>
      <c r="E26" s="95"/>
      <c r="F26" s="95"/>
    </row>
    <row r="27">
      <c r="A27" s="42"/>
      <c r="B27" s="53"/>
      <c r="D27" s="53"/>
    </row>
    <row r="28">
      <c r="A28" s="41"/>
      <c r="B28" s="53"/>
      <c r="D28" s="53"/>
    </row>
    <row r="29">
      <c r="A29" s="41"/>
      <c r="B29" s="53"/>
      <c r="D29" s="53"/>
    </row>
    <row r="30">
      <c r="A30" s="41"/>
      <c r="B30" s="53"/>
      <c r="D30" s="53"/>
    </row>
    <row r="31">
      <c r="A31" s="41"/>
      <c r="B31" s="53"/>
      <c r="D31" s="53"/>
    </row>
    <row r="32">
      <c r="A32" s="42"/>
      <c r="B32" s="53"/>
      <c r="D32" s="53"/>
    </row>
    <row r="33">
      <c r="A33" s="41"/>
      <c r="B33" s="53"/>
      <c r="D33" s="53"/>
    </row>
    <row r="34">
      <c r="A34" s="42"/>
      <c r="B34" s="53"/>
      <c r="D34" s="53"/>
    </row>
    <row r="35">
      <c r="A35" s="41"/>
      <c r="B35" s="53"/>
      <c r="D35" s="53"/>
    </row>
    <row r="36">
      <c r="A36" s="41"/>
      <c r="B36" s="53"/>
      <c r="D36" s="53"/>
    </row>
    <row r="37">
      <c r="A37" s="41"/>
      <c r="B37" s="53"/>
      <c r="D37" s="53"/>
    </row>
    <row r="38">
      <c r="A38" s="41"/>
      <c r="B38" s="53"/>
      <c r="D38" s="53"/>
    </row>
    <row r="39">
      <c r="A39" s="41"/>
      <c r="B39" s="53"/>
      <c r="D39" s="53"/>
    </row>
    <row r="40">
      <c r="A40" s="41"/>
      <c r="B40" s="53"/>
      <c r="D40" s="53"/>
    </row>
    <row r="41">
      <c r="A41" s="42"/>
      <c r="B41" s="53"/>
      <c r="D41" s="53"/>
    </row>
    <row r="42">
      <c r="A42" s="41"/>
      <c r="B42" s="53"/>
      <c r="D42" s="53"/>
    </row>
    <row r="43">
      <c r="A43" s="42"/>
      <c r="B43" s="53"/>
      <c r="D43" s="53"/>
    </row>
    <row r="44">
      <c r="A44" s="41"/>
      <c r="B44" s="53"/>
      <c r="D44" s="53"/>
    </row>
    <row r="45">
      <c r="A45" s="41"/>
      <c r="B45" s="53"/>
      <c r="D45" s="53"/>
    </row>
    <row r="46">
      <c r="A46" s="41"/>
      <c r="B46" s="53"/>
      <c r="D46" s="53"/>
    </row>
    <row r="47">
      <c r="A47" s="42"/>
      <c r="B47" s="53"/>
      <c r="D47" s="53"/>
    </row>
    <row r="48">
      <c r="A48" s="41"/>
      <c r="B48" s="53"/>
      <c r="D48" s="53"/>
    </row>
    <row r="49">
      <c r="A49" s="42"/>
      <c r="B49" s="53"/>
      <c r="D49" s="53"/>
    </row>
    <row r="50">
      <c r="A50" s="41"/>
      <c r="B50" s="53"/>
      <c r="D50" s="53"/>
    </row>
    <row r="51">
      <c r="A51" s="41"/>
      <c r="B51" s="53"/>
      <c r="D51" s="53"/>
    </row>
    <row r="52">
      <c r="A52" s="41"/>
      <c r="B52" s="53"/>
      <c r="D52" s="53"/>
    </row>
    <row r="53">
      <c r="A53" s="41"/>
      <c r="B53" s="53"/>
      <c r="D53" s="53"/>
    </row>
    <row r="54">
      <c r="A54" s="41"/>
      <c r="B54" s="53"/>
      <c r="D54" s="53"/>
    </row>
    <row r="55">
      <c r="A55" s="41"/>
      <c r="B55" s="53"/>
      <c r="D55" s="53"/>
    </row>
    <row r="56">
      <c r="A56" s="41"/>
      <c r="B56" s="53"/>
      <c r="D56" s="53"/>
    </row>
    <row r="57">
      <c r="A57" s="41"/>
      <c r="B57" s="53"/>
      <c r="D57" s="53"/>
    </row>
    <row r="58">
      <c r="A58" s="41"/>
      <c r="B58" s="53"/>
      <c r="D58" s="53"/>
    </row>
    <row r="59">
      <c r="A59" s="42"/>
      <c r="B59" s="53"/>
      <c r="D59" s="53"/>
    </row>
    <row r="60">
      <c r="A60" s="41"/>
      <c r="B60" s="53"/>
      <c r="D60" s="53"/>
    </row>
    <row r="61">
      <c r="A61" s="42"/>
      <c r="B61" s="53"/>
      <c r="D61" s="53"/>
    </row>
    <row r="62">
      <c r="A62" s="41"/>
      <c r="B62" s="53"/>
      <c r="D62" s="53"/>
    </row>
    <row r="63">
      <c r="A63" s="41"/>
      <c r="B63" s="53"/>
      <c r="D63" s="53"/>
    </row>
    <row r="64">
      <c r="A64" s="41"/>
      <c r="B64" s="53"/>
      <c r="D64" s="53"/>
    </row>
    <row r="65">
      <c r="A65" s="42"/>
      <c r="B65" s="53"/>
      <c r="D65" s="53"/>
    </row>
    <row r="66">
      <c r="A66" s="41"/>
      <c r="B66" s="53"/>
      <c r="D66" s="53"/>
    </row>
    <row r="67">
      <c r="A67" s="42"/>
      <c r="B67" s="53"/>
      <c r="D67" s="53"/>
    </row>
    <row r="68">
      <c r="A68" s="41"/>
      <c r="B68" s="53"/>
      <c r="D68" s="53"/>
    </row>
    <row r="69">
      <c r="A69" s="41"/>
      <c r="B69" s="53"/>
      <c r="D69" s="53"/>
    </row>
    <row r="70">
      <c r="A70" s="41"/>
      <c r="B70" s="53"/>
      <c r="D70" s="53"/>
    </row>
    <row r="71">
      <c r="A71" s="42"/>
      <c r="B71" s="53"/>
      <c r="D71" s="53"/>
    </row>
    <row r="72">
      <c r="A72" s="41"/>
      <c r="B72" s="53"/>
      <c r="D72" s="53"/>
    </row>
    <row r="73">
      <c r="A73" s="42"/>
      <c r="B73" s="53"/>
      <c r="D73" s="53"/>
    </row>
    <row r="74">
      <c r="A74" s="41"/>
      <c r="B74" s="53"/>
      <c r="D74" s="53"/>
    </row>
    <row r="75">
      <c r="A75" s="41"/>
      <c r="B75" s="53"/>
      <c r="D75" s="53"/>
    </row>
    <row r="76">
      <c r="A76" s="41"/>
      <c r="B76" s="53"/>
      <c r="D76" s="53"/>
    </row>
    <row r="77">
      <c r="A77" s="41"/>
      <c r="B77" s="53"/>
      <c r="D77" s="53"/>
    </row>
    <row r="78">
      <c r="A78" s="43"/>
      <c r="B78" s="53"/>
      <c r="D78" s="53"/>
    </row>
    <row r="79">
      <c r="A79" s="44"/>
      <c r="B79" s="53"/>
      <c r="D79" s="53"/>
    </row>
    <row r="80">
      <c r="A80" s="43"/>
      <c r="B80" s="53"/>
      <c r="D80" s="53"/>
    </row>
    <row r="81">
      <c r="A81" s="42"/>
      <c r="B81" s="53"/>
      <c r="D81" s="53"/>
    </row>
    <row r="82">
      <c r="A82" s="41"/>
      <c r="B82" s="53"/>
      <c r="D82" s="53"/>
    </row>
    <row r="83">
      <c r="A83" s="42"/>
      <c r="B83" s="53"/>
      <c r="D83" s="53"/>
    </row>
    <row r="84">
      <c r="A84" s="41"/>
      <c r="B84" s="53"/>
      <c r="D84" s="53"/>
    </row>
    <row r="85">
      <c r="A85" s="42"/>
      <c r="B85" s="53"/>
      <c r="D85" s="53"/>
    </row>
    <row r="86">
      <c r="A86" s="41"/>
      <c r="B86" s="53"/>
      <c r="D86" s="53"/>
    </row>
    <row r="87">
      <c r="A87" s="41"/>
      <c r="B87" s="53"/>
      <c r="D87" s="53"/>
    </row>
    <row r="88">
      <c r="A88" s="41"/>
      <c r="B88" s="53"/>
      <c r="D88" s="53"/>
    </row>
    <row r="89">
      <c r="A89" s="42"/>
      <c r="B89" s="53"/>
      <c r="D89" s="53"/>
    </row>
    <row r="90">
      <c r="A90" s="41"/>
      <c r="B90" s="53"/>
      <c r="D90" s="53"/>
    </row>
    <row r="91">
      <c r="A91" s="42"/>
      <c r="B91" s="53"/>
      <c r="D91" s="53"/>
    </row>
    <row r="92">
      <c r="A92" s="41"/>
      <c r="B92" s="53"/>
      <c r="D92" s="53"/>
    </row>
    <row r="93">
      <c r="A93" s="41"/>
      <c r="B93" s="53"/>
      <c r="D93" s="53"/>
    </row>
    <row r="94">
      <c r="A94" s="41"/>
      <c r="B94" s="53"/>
      <c r="D94" s="53"/>
    </row>
    <row r="95">
      <c r="A95" s="42"/>
      <c r="B95" s="53"/>
      <c r="D95" s="53"/>
    </row>
    <row r="96">
      <c r="A96" s="41"/>
      <c r="B96" s="53"/>
      <c r="D96" s="53"/>
    </row>
    <row r="97">
      <c r="A97" s="42"/>
      <c r="B97" s="53"/>
      <c r="D97" s="53"/>
    </row>
    <row r="98">
      <c r="A98" s="41"/>
      <c r="B98" s="53"/>
      <c r="D98" s="53"/>
    </row>
    <row r="99">
      <c r="A99" s="41"/>
      <c r="B99" s="53"/>
      <c r="D99" s="53"/>
    </row>
    <row r="100">
      <c r="A100" s="41"/>
      <c r="B100" s="53"/>
      <c r="D100" s="53"/>
    </row>
    <row r="101">
      <c r="A101" s="42"/>
      <c r="B101" s="53"/>
      <c r="D101" s="53"/>
    </row>
    <row r="102">
      <c r="A102" s="41"/>
      <c r="B102" s="53"/>
      <c r="D102" s="53"/>
    </row>
    <row r="103">
      <c r="A103" s="42"/>
      <c r="B103" s="53"/>
      <c r="D103" s="53"/>
    </row>
    <row r="104">
      <c r="A104" s="41"/>
      <c r="B104" s="53"/>
      <c r="D104" s="53"/>
    </row>
    <row r="105">
      <c r="A105" s="41"/>
      <c r="B105" s="53"/>
      <c r="D105" s="53"/>
    </row>
    <row r="106">
      <c r="A106" s="41"/>
      <c r="B106" s="53"/>
      <c r="D106" s="53"/>
    </row>
    <row r="107">
      <c r="A107" s="42"/>
      <c r="B107" s="53"/>
      <c r="D107" s="53"/>
    </row>
    <row r="108">
      <c r="A108" s="41"/>
      <c r="B108" s="53"/>
      <c r="D108" s="53"/>
    </row>
    <row r="109">
      <c r="A109" s="42"/>
      <c r="B109" s="53"/>
      <c r="D109" s="53"/>
    </row>
    <row r="110">
      <c r="A110" s="41"/>
      <c r="B110" s="53"/>
      <c r="D110" s="53"/>
    </row>
    <row r="111">
      <c r="A111" s="41"/>
      <c r="B111" s="53"/>
      <c r="D111" s="53"/>
    </row>
    <row r="112">
      <c r="A112" s="41"/>
      <c r="B112" s="53"/>
      <c r="D112" s="53"/>
    </row>
    <row r="113">
      <c r="A113" s="41"/>
      <c r="B113" s="53"/>
      <c r="D113" s="53"/>
    </row>
    <row r="114">
      <c r="A114" s="41"/>
      <c r="B114" s="53"/>
      <c r="D114" s="53"/>
    </row>
    <row r="115">
      <c r="A115" s="42"/>
      <c r="B115" s="53"/>
      <c r="D115" s="53"/>
    </row>
    <row r="116">
      <c r="A116" s="41"/>
      <c r="B116" s="53"/>
      <c r="D116" s="53"/>
    </row>
    <row r="117">
      <c r="A117" s="42"/>
      <c r="B117" s="53"/>
      <c r="D117" s="53"/>
    </row>
    <row r="118">
      <c r="A118" s="41"/>
      <c r="B118" s="53"/>
      <c r="D118" s="53"/>
    </row>
    <row r="119">
      <c r="A119" s="41"/>
      <c r="B119" s="53"/>
      <c r="D119" s="53"/>
    </row>
    <row r="120">
      <c r="A120" s="41"/>
      <c r="B120" s="53"/>
      <c r="D120" s="53"/>
    </row>
    <row r="121">
      <c r="A121" s="41"/>
      <c r="B121" s="53"/>
      <c r="D121" s="53"/>
    </row>
    <row r="122">
      <c r="A122" s="42"/>
      <c r="B122" s="53"/>
      <c r="D122" s="53"/>
    </row>
    <row r="123">
      <c r="A123" s="41"/>
      <c r="B123" s="53"/>
      <c r="D123" s="53"/>
    </row>
    <row r="124">
      <c r="A124" s="42"/>
      <c r="B124" s="53"/>
      <c r="D124" s="53"/>
    </row>
    <row r="125">
      <c r="A125" s="41"/>
      <c r="B125" s="53"/>
      <c r="D125" s="53"/>
    </row>
    <row r="126">
      <c r="A126" s="41"/>
      <c r="B126" s="53"/>
      <c r="D126" s="53"/>
    </row>
    <row r="127">
      <c r="A127" s="41"/>
      <c r="B127" s="53"/>
      <c r="D127" s="53"/>
    </row>
    <row r="128">
      <c r="B128" s="53"/>
      <c r="D128" s="53"/>
    </row>
    <row r="129">
      <c r="B129" s="53"/>
      <c r="D129" s="53"/>
    </row>
    <row r="130">
      <c r="B130" s="53"/>
      <c r="D130" s="53"/>
    </row>
    <row r="131">
      <c r="B131" s="53"/>
      <c r="D131" s="53"/>
    </row>
    <row r="132">
      <c r="B132" s="53"/>
      <c r="D132" s="53"/>
    </row>
    <row r="133">
      <c r="B133" s="53"/>
      <c r="D133" s="53"/>
    </row>
    <row r="134">
      <c r="B134" s="53"/>
      <c r="D134" s="53"/>
    </row>
    <row r="135">
      <c r="B135" s="53"/>
      <c r="D135" s="53"/>
    </row>
    <row r="136">
      <c r="B136" s="53"/>
      <c r="D136" s="53"/>
    </row>
    <row r="137">
      <c r="B137" s="53"/>
      <c r="D137" s="53"/>
    </row>
    <row r="138">
      <c r="B138" s="53"/>
      <c r="D138" s="53"/>
    </row>
    <row r="139">
      <c r="B139" s="53"/>
      <c r="D139" s="53"/>
    </row>
    <row r="140">
      <c r="B140" s="53"/>
      <c r="D140" s="53"/>
    </row>
    <row r="141">
      <c r="B141" s="53"/>
      <c r="D141" s="53"/>
    </row>
    <row r="142">
      <c r="B142" s="53"/>
      <c r="D142" s="53"/>
    </row>
    <row r="143">
      <c r="B143" s="53"/>
      <c r="D143" s="53"/>
    </row>
    <row r="144">
      <c r="B144" s="53"/>
      <c r="D144" s="53"/>
    </row>
    <row r="145">
      <c r="B145" s="53"/>
      <c r="D145" s="53"/>
    </row>
    <row r="146">
      <c r="B146" s="53"/>
      <c r="D146" s="53"/>
    </row>
    <row r="147">
      <c r="B147" s="53"/>
      <c r="D147" s="53"/>
    </row>
    <row r="148">
      <c r="B148" s="53"/>
      <c r="D148" s="53"/>
    </row>
    <row r="149">
      <c r="B149" s="53"/>
      <c r="D149" s="53"/>
    </row>
    <row r="150">
      <c r="B150" s="53"/>
      <c r="D150" s="53"/>
    </row>
    <row r="151">
      <c r="B151" s="53"/>
      <c r="D151" s="53"/>
    </row>
    <row r="152">
      <c r="B152" s="53"/>
      <c r="D152" s="53"/>
    </row>
    <row r="153">
      <c r="B153" s="53"/>
      <c r="D153" s="53"/>
    </row>
    <row r="154">
      <c r="B154" s="53"/>
      <c r="D154" s="53"/>
    </row>
    <row r="155">
      <c r="B155" s="53"/>
      <c r="D155" s="53"/>
    </row>
    <row r="156">
      <c r="B156" s="53"/>
      <c r="D156" s="53"/>
    </row>
    <row r="157">
      <c r="B157" s="53"/>
      <c r="D157" s="53"/>
    </row>
    <row r="158">
      <c r="B158" s="53"/>
      <c r="D158" s="53"/>
    </row>
    <row r="159">
      <c r="B159" s="53"/>
      <c r="D159" s="53"/>
    </row>
    <row r="160">
      <c r="B160" s="53"/>
      <c r="D160" s="53"/>
    </row>
    <row r="161">
      <c r="B161" s="53"/>
      <c r="D161" s="53"/>
    </row>
    <row r="162">
      <c r="B162" s="53"/>
      <c r="D162" s="53"/>
    </row>
    <row r="163">
      <c r="B163" s="53"/>
      <c r="D163" s="53"/>
    </row>
    <row r="164">
      <c r="B164" s="53"/>
      <c r="D164" s="53"/>
    </row>
    <row r="165">
      <c r="B165" s="53"/>
      <c r="D165" s="53"/>
    </row>
    <row r="166">
      <c r="B166" s="53"/>
      <c r="D166" s="53"/>
    </row>
    <row r="167">
      <c r="B167" s="53"/>
      <c r="D167" s="53"/>
    </row>
    <row r="168">
      <c r="B168" s="53"/>
      <c r="D168" s="53"/>
    </row>
    <row r="169">
      <c r="B169" s="53"/>
      <c r="D169" s="53"/>
    </row>
    <row r="170">
      <c r="B170" s="53"/>
      <c r="D170" s="53"/>
    </row>
    <row r="171">
      <c r="B171" s="53"/>
      <c r="D171" s="53"/>
    </row>
    <row r="172">
      <c r="B172" s="53"/>
      <c r="D172" s="53"/>
    </row>
    <row r="173">
      <c r="B173" s="53"/>
      <c r="D173" s="53"/>
    </row>
    <row r="174">
      <c r="B174" s="53"/>
      <c r="D174" s="53"/>
    </row>
    <row r="175">
      <c r="B175" s="53"/>
      <c r="D175" s="53"/>
    </row>
    <row r="176">
      <c r="B176" s="53"/>
      <c r="D176" s="53"/>
    </row>
    <row r="177">
      <c r="B177" s="53"/>
      <c r="D177" s="53"/>
    </row>
    <row r="178">
      <c r="B178" s="53"/>
      <c r="D178" s="53"/>
    </row>
    <row r="179">
      <c r="B179" s="53"/>
      <c r="D179" s="53"/>
    </row>
    <row r="180">
      <c r="B180" s="53"/>
      <c r="D180" s="53"/>
    </row>
    <row r="181">
      <c r="B181" s="53"/>
      <c r="D181" s="53"/>
    </row>
    <row r="182">
      <c r="B182" s="53"/>
      <c r="D182" s="53"/>
    </row>
    <row r="183">
      <c r="B183" s="53"/>
      <c r="D183" s="53"/>
    </row>
    <row r="184">
      <c r="B184" s="53"/>
      <c r="D184" s="53"/>
    </row>
    <row r="185">
      <c r="B185" s="53"/>
      <c r="D185" s="53"/>
    </row>
    <row r="186">
      <c r="B186" s="53"/>
      <c r="D186" s="53"/>
    </row>
    <row r="187">
      <c r="B187" s="53"/>
      <c r="D187" s="53"/>
    </row>
    <row r="188">
      <c r="B188" s="53"/>
      <c r="D188" s="53"/>
    </row>
    <row r="189">
      <c r="B189" s="53"/>
      <c r="D189" s="53"/>
    </row>
    <row r="190">
      <c r="B190" s="53"/>
      <c r="D190" s="53"/>
    </row>
    <row r="191">
      <c r="B191" s="53"/>
      <c r="D191" s="53"/>
    </row>
    <row r="192">
      <c r="B192" s="53"/>
      <c r="D192" s="53"/>
    </row>
    <row r="193">
      <c r="B193" s="53"/>
      <c r="D193" s="53"/>
    </row>
    <row r="194">
      <c r="B194" s="53"/>
      <c r="D194" s="53"/>
    </row>
    <row r="195">
      <c r="B195" s="53"/>
      <c r="D195" s="53"/>
    </row>
    <row r="196">
      <c r="B196" s="53"/>
      <c r="D196" s="53"/>
    </row>
    <row r="197">
      <c r="B197" s="53"/>
      <c r="D197" s="53"/>
    </row>
    <row r="198">
      <c r="B198" s="53"/>
      <c r="D198" s="53"/>
    </row>
    <row r="199">
      <c r="B199" s="53"/>
      <c r="D199" s="53"/>
    </row>
    <row r="200">
      <c r="B200" s="53"/>
      <c r="D200" s="53"/>
    </row>
    <row r="201">
      <c r="B201" s="53"/>
      <c r="D201" s="53"/>
    </row>
    <row r="202">
      <c r="B202" s="53"/>
      <c r="D202" s="53"/>
    </row>
    <row r="203">
      <c r="B203" s="53"/>
      <c r="D203" s="53"/>
    </row>
    <row r="204">
      <c r="B204" s="53"/>
      <c r="D204" s="53"/>
    </row>
    <row r="205">
      <c r="B205" s="53"/>
      <c r="D205" s="53"/>
    </row>
    <row r="206">
      <c r="B206" s="53"/>
      <c r="D206" s="53"/>
    </row>
    <row r="207">
      <c r="B207" s="53"/>
      <c r="D207" s="53"/>
    </row>
    <row r="208">
      <c r="B208" s="53"/>
      <c r="D208" s="53"/>
    </row>
    <row r="209">
      <c r="B209" s="53"/>
      <c r="D209" s="53"/>
    </row>
    <row r="210">
      <c r="B210" s="53"/>
      <c r="D210" s="53"/>
    </row>
    <row r="211">
      <c r="B211" s="53"/>
      <c r="D211" s="53"/>
    </row>
    <row r="212">
      <c r="B212" s="53"/>
      <c r="D212" s="53"/>
    </row>
    <row r="213">
      <c r="B213" s="53"/>
      <c r="D213" s="53"/>
    </row>
    <row r="214">
      <c r="B214" s="53"/>
      <c r="D214" s="53"/>
    </row>
    <row r="215">
      <c r="B215" s="53"/>
      <c r="D215" s="53"/>
    </row>
    <row r="216">
      <c r="B216" s="53"/>
      <c r="D216" s="53"/>
    </row>
    <row r="217">
      <c r="B217" s="53"/>
      <c r="D217" s="53"/>
    </row>
    <row r="218">
      <c r="B218" s="53"/>
      <c r="D218" s="53"/>
    </row>
    <row r="219">
      <c r="B219" s="53"/>
      <c r="D219" s="53"/>
    </row>
    <row r="220">
      <c r="B220" s="53"/>
      <c r="D220" s="53"/>
    </row>
    <row r="221">
      <c r="B221" s="53"/>
      <c r="D221" s="53"/>
    </row>
    <row r="222">
      <c r="B222" s="53"/>
      <c r="D222" s="53"/>
    </row>
    <row r="223">
      <c r="B223" s="53"/>
      <c r="D223" s="53"/>
    </row>
    <row r="224">
      <c r="B224" s="53"/>
      <c r="D224" s="53"/>
    </row>
    <row r="225">
      <c r="B225" s="53"/>
      <c r="D225" s="53"/>
    </row>
    <row r="226">
      <c r="B226" s="53"/>
      <c r="D226" s="53"/>
    </row>
    <row r="227">
      <c r="B227" s="53"/>
      <c r="D227" s="53"/>
    </row>
    <row r="228">
      <c r="B228" s="53"/>
      <c r="D228" s="53"/>
    </row>
    <row r="229">
      <c r="B229" s="53"/>
      <c r="D229" s="53"/>
    </row>
    <row r="230">
      <c r="B230" s="53"/>
      <c r="D230" s="53"/>
    </row>
    <row r="231">
      <c r="B231" s="53"/>
      <c r="D231" s="53"/>
    </row>
    <row r="232">
      <c r="B232" s="53"/>
      <c r="D232" s="53"/>
    </row>
    <row r="233">
      <c r="B233" s="53"/>
      <c r="D233" s="53"/>
    </row>
    <row r="234">
      <c r="B234" s="53"/>
      <c r="D234" s="53"/>
    </row>
    <row r="235">
      <c r="B235" s="53"/>
      <c r="D235" s="53"/>
    </row>
    <row r="236">
      <c r="B236" s="53"/>
      <c r="D236" s="53"/>
    </row>
    <row r="237">
      <c r="B237" s="53"/>
      <c r="D237" s="53"/>
    </row>
    <row r="238">
      <c r="B238" s="53"/>
      <c r="D238" s="53"/>
    </row>
    <row r="239">
      <c r="B239" s="53"/>
      <c r="D239" s="53"/>
    </row>
    <row r="240">
      <c r="B240" s="53"/>
      <c r="D240" s="53"/>
    </row>
    <row r="241">
      <c r="B241" s="53"/>
      <c r="D241" s="53"/>
    </row>
    <row r="242">
      <c r="B242" s="53"/>
      <c r="D242" s="53"/>
    </row>
    <row r="243">
      <c r="B243" s="53"/>
      <c r="D243" s="53"/>
    </row>
    <row r="244">
      <c r="B244" s="53"/>
      <c r="D244" s="53"/>
    </row>
    <row r="245">
      <c r="B245" s="53"/>
      <c r="D245" s="53"/>
    </row>
    <row r="246">
      <c r="B246" s="53"/>
      <c r="D246" s="53"/>
    </row>
    <row r="247">
      <c r="B247" s="53"/>
      <c r="D247" s="53"/>
    </row>
    <row r="248">
      <c r="B248" s="53"/>
      <c r="D248" s="53"/>
    </row>
    <row r="249">
      <c r="B249" s="53"/>
      <c r="D249" s="53"/>
    </row>
    <row r="250">
      <c r="B250" s="53"/>
      <c r="D250" s="53"/>
    </row>
    <row r="251">
      <c r="B251" s="53"/>
      <c r="D251" s="53"/>
    </row>
    <row r="252">
      <c r="B252" s="53"/>
      <c r="D252" s="53"/>
    </row>
    <row r="253">
      <c r="B253" s="53"/>
      <c r="D253" s="53"/>
    </row>
    <row r="254">
      <c r="B254" s="53"/>
      <c r="D254" s="53"/>
    </row>
    <row r="255">
      <c r="B255" s="53"/>
      <c r="D255" s="53"/>
    </row>
    <row r="256">
      <c r="B256" s="53"/>
      <c r="D256" s="53"/>
    </row>
    <row r="257">
      <c r="B257" s="53"/>
      <c r="D257" s="53"/>
    </row>
    <row r="258">
      <c r="B258" s="53"/>
      <c r="D258" s="53"/>
    </row>
    <row r="259">
      <c r="B259" s="53"/>
      <c r="D259" s="53"/>
    </row>
    <row r="260">
      <c r="B260" s="53"/>
      <c r="D260" s="53"/>
    </row>
    <row r="261">
      <c r="B261" s="53"/>
      <c r="D261" s="53"/>
    </row>
    <row r="262">
      <c r="B262" s="53"/>
      <c r="D262" s="53"/>
    </row>
    <row r="263">
      <c r="B263" s="53"/>
      <c r="D263" s="53"/>
    </row>
    <row r="264">
      <c r="B264" s="53"/>
      <c r="D264" s="53"/>
    </row>
    <row r="265">
      <c r="B265" s="53"/>
      <c r="D265" s="53"/>
    </row>
    <row r="266">
      <c r="B266" s="53"/>
      <c r="D266" s="53"/>
    </row>
    <row r="267">
      <c r="B267" s="53"/>
      <c r="D267" s="53"/>
    </row>
    <row r="268">
      <c r="B268" s="53"/>
      <c r="D268" s="53"/>
    </row>
    <row r="269">
      <c r="B269" s="53"/>
      <c r="D269" s="53"/>
    </row>
    <row r="270">
      <c r="B270" s="53"/>
      <c r="D270" s="53"/>
    </row>
    <row r="271">
      <c r="B271" s="53"/>
      <c r="D271" s="53"/>
    </row>
    <row r="272">
      <c r="B272" s="53"/>
      <c r="D272" s="53"/>
    </row>
    <row r="273">
      <c r="B273" s="53"/>
      <c r="D273" s="53"/>
    </row>
    <row r="274">
      <c r="B274" s="53"/>
      <c r="D274" s="53"/>
    </row>
    <row r="275">
      <c r="B275" s="53"/>
      <c r="D275" s="53"/>
    </row>
    <row r="276">
      <c r="B276" s="53"/>
      <c r="D276" s="53"/>
    </row>
    <row r="277">
      <c r="B277" s="53"/>
      <c r="D277" s="53"/>
    </row>
    <row r="278">
      <c r="B278" s="53"/>
      <c r="D278" s="53"/>
    </row>
    <row r="279">
      <c r="B279" s="53"/>
      <c r="D279" s="53"/>
    </row>
    <row r="280">
      <c r="B280" s="53"/>
      <c r="D280" s="53"/>
    </row>
    <row r="281">
      <c r="B281" s="53"/>
      <c r="D281" s="53"/>
    </row>
    <row r="282">
      <c r="B282" s="53"/>
      <c r="D282" s="53"/>
    </row>
    <row r="283">
      <c r="B283" s="53"/>
      <c r="D283" s="53"/>
    </row>
    <row r="284">
      <c r="B284" s="53"/>
      <c r="D284" s="53"/>
    </row>
    <row r="285">
      <c r="B285" s="53"/>
      <c r="D285" s="53"/>
    </row>
    <row r="286">
      <c r="B286" s="53"/>
      <c r="D286" s="53"/>
    </row>
    <row r="287">
      <c r="B287" s="53"/>
      <c r="D287" s="53"/>
    </row>
    <row r="288">
      <c r="B288" s="53"/>
      <c r="D288" s="53"/>
    </row>
    <row r="289">
      <c r="B289" s="53"/>
      <c r="D289" s="53"/>
    </row>
    <row r="290">
      <c r="B290" s="53"/>
      <c r="D290" s="53"/>
    </row>
    <row r="291">
      <c r="B291" s="53"/>
      <c r="D291" s="53"/>
    </row>
    <row r="292">
      <c r="B292" s="53"/>
      <c r="D292" s="53"/>
    </row>
    <row r="293">
      <c r="B293" s="53"/>
      <c r="D293" s="53"/>
    </row>
    <row r="294">
      <c r="B294" s="53"/>
      <c r="D294" s="53"/>
    </row>
    <row r="295">
      <c r="B295" s="53"/>
      <c r="D295" s="53"/>
    </row>
    <row r="296">
      <c r="B296" s="53"/>
      <c r="D296" s="53"/>
    </row>
    <row r="297">
      <c r="B297" s="53"/>
      <c r="D297" s="53"/>
    </row>
    <row r="298">
      <c r="B298" s="53"/>
      <c r="D298" s="53"/>
    </row>
    <row r="299">
      <c r="B299" s="53"/>
      <c r="D299" s="53"/>
    </row>
    <row r="300">
      <c r="B300" s="53"/>
      <c r="D300" s="53"/>
    </row>
    <row r="301">
      <c r="B301" s="53"/>
      <c r="D301" s="53"/>
    </row>
    <row r="302">
      <c r="B302" s="53"/>
      <c r="D302" s="53"/>
    </row>
    <row r="303">
      <c r="B303" s="53"/>
      <c r="D303" s="53"/>
    </row>
    <row r="304">
      <c r="B304" s="53"/>
      <c r="D304" s="53"/>
    </row>
    <row r="305">
      <c r="B305" s="53"/>
      <c r="D305" s="53"/>
    </row>
    <row r="306">
      <c r="B306" s="53"/>
      <c r="D306" s="53"/>
    </row>
    <row r="307">
      <c r="B307" s="53"/>
      <c r="D307" s="53"/>
    </row>
    <row r="308">
      <c r="B308" s="53"/>
      <c r="D308" s="53"/>
    </row>
    <row r="309">
      <c r="B309" s="53"/>
      <c r="D309" s="53"/>
    </row>
    <row r="310">
      <c r="B310" s="53"/>
      <c r="D310" s="53"/>
    </row>
    <row r="311">
      <c r="B311" s="53"/>
      <c r="D311" s="53"/>
    </row>
    <row r="312">
      <c r="B312" s="53"/>
      <c r="D312" s="53"/>
    </row>
    <row r="313">
      <c r="B313" s="53"/>
      <c r="D313" s="53"/>
    </row>
    <row r="314">
      <c r="B314" s="53"/>
      <c r="D314" s="53"/>
    </row>
    <row r="315">
      <c r="B315" s="53"/>
      <c r="D315" s="53"/>
    </row>
    <row r="316">
      <c r="B316" s="53"/>
      <c r="D316" s="53"/>
    </row>
    <row r="317">
      <c r="B317" s="53"/>
      <c r="D317" s="53"/>
    </row>
    <row r="318">
      <c r="B318" s="53"/>
      <c r="D318" s="53"/>
    </row>
    <row r="319">
      <c r="B319" s="53"/>
      <c r="D319" s="53"/>
    </row>
    <row r="320">
      <c r="B320" s="53"/>
      <c r="D320" s="53"/>
    </row>
    <row r="321">
      <c r="B321" s="53"/>
      <c r="D321" s="53"/>
    </row>
    <row r="322">
      <c r="B322" s="53"/>
      <c r="D322" s="53"/>
    </row>
    <row r="323">
      <c r="B323" s="53"/>
      <c r="D323" s="53"/>
    </row>
    <row r="324">
      <c r="B324" s="53"/>
      <c r="D324" s="53"/>
    </row>
    <row r="325">
      <c r="B325" s="53"/>
      <c r="D325" s="53"/>
    </row>
    <row r="326">
      <c r="B326" s="53"/>
      <c r="D326" s="53"/>
    </row>
    <row r="327">
      <c r="B327" s="53"/>
      <c r="D327" s="53"/>
    </row>
    <row r="328">
      <c r="B328" s="53"/>
      <c r="D328" s="53"/>
    </row>
    <row r="329">
      <c r="B329" s="53"/>
      <c r="D329" s="53"/>
    </row>
    <row r="330">
      <c r="B330" s="53"/>
      <c r="D330" s="53"/>
    </row>
    <row r="331">
      <c r="B331" s="53"/>
      <c r="D331" s="53"/>
    </row>
    <row r="332">
      <c r="B332" s="53"/>
      <c r="D332" s="53"/>
    </row>
    <row r="333">
      <c r="B333" s="53"/>
      <c r="D333" s="53"/>
    </row>
    <row r="334">
      <c r="B334" s="53"/>
      <c r="D334" s="53"/>
    </row>
    <row r="335">
      <c r="B335" s="53"/>
      <c r="D335" s="53"/>
    </row>
    <row r="336">
      <c r="B336" s="53"/>
      <c r="D336" s="53"/>
    </row>
    <row r="337">
      <c r="B337" s="53"/>
      <c r="D337" s="53"/>
    </row>
    <row r="338">
      <c r="B338" s="53"/>
      <c r="D338" s="53"/>
    </row>
    <row r="339">
      <c r="B339" s="53"/>
      <c r="D339" s="53"/>
    </row>
    <row r="340">
      <c r="B340" s="53"/>
      <c r="D340" s="53"/>
    </row>
    <row r="341">
      <c r="B341" s="53"/>
      <c r="D341" s="53"/>
    </row>
    <row r="342">
      <c r="B342" s="53"/>
      <c r="D342" s="53"/>
    </row>
    <row r="343">
      <c r="B343" s="53"/>
      <c r="D343" s="53"/>
    </row>
    <row r="344">
      <c r="B344" s="53"/>
      <c r="D344" s="53"/>
    </row>
    <row r="345">
      <c r="B345" s="53"/>
      <c r="D345" s="53"/>
    </row>
    <row r="346">
      <c r="B346" s="53"/>
      <c r="D346" s="53"/>
    </row>
    <row r="347">
      <c r="B347" s="53"/>
      <c r="D347" s="53"/>
    </row>
    <row r="348">
      <c r="B348" s="53"/>
      <c r="D348" s="53"/>
    </row>
    <row r="349">
      <c r="B349" s="53"/>
      <c r="D349" s="53"/>
    </row>
    <row r="350">
      <c r="B350" s="53"/>
      <c r="D350" s="53"/>
    </row>
    <row r="351">
      <c r="B351" s="53"/>
      <c r="D351" s="53"/>
    </row>
    <row r="352">
      <c r="B352" s="53"/>
      <c r="D352" s="53"/>
    </row>
    <row r="353">
      <c r="B353" s="53"/>
      <c r="D353" s="53"/>
    </row>
    <row r="354">
      <c r="B354" s="53"/>
      <c r="D354" s="53"/>
    </row>
    <row r="355">
      <c r="B355" s="53"/>
      <c r="D355" s="53"/>
    </row>
    <row r="356">
      <c r="B356" s="53"/>
      <c r="D356" s="53"/>
    </row>
    <row r="357">
      <c r="B357" s="53"/>
      <c r="D357" s="53"/>
    </row>
    <row r="358">
      <c r="B358" s="53"/>
      <c r="D358" s="53"/>
    </row>
    <row r="359">
      <c r="B359" s="53"/>
      <c r="D359" s="53"/>
    </row>
    <row r="360">
      <c r="B360" s="53"/>
      <c r="D360" s="53"/>
    </row>
    <row r="361">
      <c r="B361" s="53"/>
      <c r="D361" s="53"/>
    </row>
    <row r="362">
      <c r="B362" s="53"/>
      <c r="D362" s="53"/>
    </row>
    <row r="363">
      <c r="B363" s="53"/>
      <c r="D363" s="53"/>
    </row>
    <row r="364">
      <c r="B364" s="53"/>
      <c r="D364" s="53"/>
    </row>
    <row r="365">
      <c r="B365" s="53"/>
      <c r="D365" s="53"/>
    </row>
    <row r="366">
      <c r="B366" s="53"/>
      <c r="D366" s="53"/>
    </row>
    <row r="367">
      <c r="B367" s="53"/>
      <c r="D367" s="53"/>
    </row>
    <row r="368">
      <c r="B368" s="53"/>
      <c r="D368" s="53"/>
    </row>
    <row r="369">
      <c r="B369" s="53"/>
      <c r="D369" s="53"/>
    </row>
    <row r="370">
      <c r="B370" s="53"/>
      <c r="D370" s="53"/>
    </row>
    <row r="371">
      <c r="B371" s="53"/>
      <c r="D371" s="53"/>
    </row>
    <row r="372">
      <c r="B372" s="53"/>
      <c r="D372" s="53"/>
    </row>
    <row r="373">
      <c r="B373" s="53"/>
      <c r="D373" s="53"/>
    </row>
    <row r="374">
      <c r="B374" s="53"/>
      <c r="D374" s="53"/>
    </row>
    <row r="375">
      <c r="B375" s="53"/>
      <c r="D375" s="53"/>
    </row>
    <row r="376">
      <c r="B376" s="53"/>
      <c r="D376" s="53"/>
    </row>
    <row r="377">
      <c r="B377" s="53"/>
      <c r="D377" s="53"/>
    </row>
    <row r="378">
      <c r="B378" s="53"/>
      <c r="D378" s="53"/>
    </row>
    <row r="379">
      <c r="B379" s="53"/>
      <c r="D379" s="53"/>
    </row>
    <row r="380">
      <c r="B380" s="53"/>
      <c r="D380" s="53"/>
    </row>
    <row r="381">
      <c r="B381" s="53"/>
      <c r="D381" s="53"/>
    </row>
    <row r="382">
      <c r="B382" s="53"/>
      <c r="D382" s="53"/>
    </row>
    <row r="383">
      <c r="B383" s="53"/>
      <c r="D383" s="53"/>
    </row>
    <row r="384">
      <c r="B384" s="53"/>
      <c r="D384" s="53"/>
    </row>
    <row r="385">
      <c r="B385" s="53"/>
      <c r="D385" s="53"/>
    </row>
    <row r="386">
      <c r="B386" s="53"/>
      <c r="D386" s="53"/>
    </row>
    <row r="387">
      <c r="B387" s="53"/>
      <c r="D387" s="53"/>
    </row>
    <row r="388">
      <c r="B388" s="53"/>
      <c r="D388" s="53"/>
    </row>
    <row r="389">
      <c r="B389" s="53"/>
      <c r="D389" s="53"/>
    </row>
    <row r="390">
      <c r="B390" s="53"/>
      <c r="D390" s="53"/>
    </row>
    <row r="391">
      <c r="B391" s="53"/>
      <c r="D391" s="53"/>
    </row>
    <row r="392">
      <c r="B392" s="53"/>
      <c r="D392" s="53"/>
    </row>
    <row r="393">
      <c r="B393" s="53"/>
      <c r="D393" s="53"/>
    </row>
    <row r="394">
      <c r="B394" s="53"/>
      <c r="D394" s="53"/>
    </row>
    <row r="395">
      <c r="B395" s="53"/>
      <c r="D395" s="53"/>
    </row>
    <row r="396">
      <c r="B396" s="53"/>
      <c r="D396" s="53"/>
    </row>
    <row r="397">
      <c r="B397" s="53"/>
      <c r="D397" s="53"/>
    </row>
    <row r="398">
      <c r="B398" s="53"/>
      <c r="D398" s="53"/>
    </row>
    <row r="399">
      <c r="B399" s="53"/>
      <c r="D399" s="53"/>
    </row>
    <row r="400">
      <c r="B400" s="53"/>
      <c r="D400" s="53"/>
    </row>
    <row r="401">
      <c r="B401" s="53"/>
      <c r="D401" s="53"/>
    </row>
    <row r="402">
      <c r="B402" s="53"/>
      <c r="D402" s="53"/>
    </row>
    <row r="403">
      <c r="B403" s="53"/>
      <c r="D403" s="53"/>
    </row>
    <row r="404">
      <c r="B404" s="53"/>
      <c r="D404" s="53"/>
    </row>
    <row r="405">
      <c r="B405" s="53"/>
      <c r="D405" s="53"/>
    </row>
    <row r="406">
      <c r="B406" s="53"/>
      <c r="D406" s="53"/>
    </row>
    <row r="407">
      <c r="B407" s="53"/>
      <c r="D407" s="53"/>
    </row>
    <row r="408">
      <c r="B408" s="53"/>
      <c r="D408" s="53"/>
    </row>
    <row r="409">
      <c r="B409" s="53"/>
      <c r="D409" s="53"/>
    </row>
    <row r="410">
      <c r="B410" s="53"/>
      <c r="D410" s="53"/>
    </row>
    <row r="411">
      <c r="B411" s="53"/>
      <c r="D411" s="53"/>
    </row>
    <row r="412">
      <c r="B412" s="53"/>
      <c r="D412" s="53"/>
    </row>
    <row r="413">
      <c r="B413" s="53"/>
      <c r="D413" s="53"/>
    </row>
    <row r="414">
      <c r="B414" s="53"/>
      <c r="D414" s="53"/>
    </row>
    <row r="415">
      <c r="B415" s="53"/>
      <c r="D415" s="53"/>
    </row>
    <row r="416">
      <c r="B416" s="53"/>
      <c r="D416" s="53"/>
    </row>
    <row r="417">
      <c r="B417" s="53"/>
      <c r="D417" s="53"/>
    </row>
    <row r="418">
      <c r="B418" s="53"/>
      <c r="D418" s="53"/>
    </row>
    <row r="419">
      <c r="B419" s="53"/>
      <c r="D419" s="53"/>
    </row>
    <row r="420">
      <c r="B420" s="53"/>
      <c r="D420" s="53"/>
    </row>
    <row r="421">
      <c r="B421" s="53"/>
      <c r="D421" s="53"/>
    </row>
    <row r="422">
      <c r="B422" s="53"/>
      <c r="D422" s="53"/>
    </row>
    <row r="423">
      <c r="B423" s="53"/>
      <c r="D423" s="53"/>
    </row>
    <row r="424">
      <c r="B424" s="53"/>
      <c r="D424" s="53"/>
    </row>
    <row r="425">
      <c r="B425" s="53"/>
      <c r="D425" s="53"/>
    </row>
    <row r="426">
      <c r="B426" s="53"/>
      <c r="D426" s="53"/>
    </row>
    <row r="427">
      <c r="B427" s="53"/>
      <c r="D427" s="53"/>
    </row>
    <row r="428">
      <c r="B428" s="53"/>
      <c r="D428" s="53"/>
    </row>
    <row r="429">
      <c r="B429" s="53"/>
      <c r="D429" s="53"/>
    </row>
    <row r="430">
      <c r="B430" s="53"/>
      <c r="D430" s="53"/>
    </row>
    <row r="431">
      <c r="B431" s="53"/>
      <c r="D431" s="53"/>
    </row>
    <row r="432">
      <c r="B432" s="53"/>
      <c r="D432" s="53"/>
    </row>
    <row r="433">
      <c r="B433" s="53"/>
      <c r="D433" s="53"/>
    </row>
    <row r="434">
      <c r="B434" s="53"/>
      <c r="D434" s="53"/>
    </row>
    <row r="435">
      <c r="B435" s="53"/>
      <c r="D435" s="53"/>
    </row>
    <row r="436">
      <c r="B436" s="53"/>
      <c r="D436" s="53"/>
    </row>
    <row r="437">
      <c r="B437" s="53"/>
      <c r="D437" s="53"/>
    </row>
    <row r="438">
      <c r="B438" s="53"/>
      <c r="D438" s="53"/>
    </row>
    <row r="439">
      <c r="B439" s="53"/>
      <c r="D439" s="53"/>
    </row>
    <row r="440">
      <c r="B440" s="53"/>
      <c r="D440" s="53"/>
    </row>
    <row r="441">
      <c r="B441" s="53"/>
      <c r="D441" s="53"/>
    </row>
    <row r="442">
      <c r="B442" s="53"/>
      <c r="D442" s="53"/>
    </row>
    <row r="443">
      <c r="B443" s="53"/>
      <c r="D443" s="53"/>
    </row>
    <row r="444">
      <c r="B444" s="53"/>
      <c r="D444" s="53"/>
    </row>
    <row r="445">
      <c r="B445" s="53"/>
      <c r="D445" s="53"/>
    </row>
    <row r="446">
      <c r="B446" s="53"/>
      <c r="D446" s="53"/>
    </row>
    <row r="447">
      <c r="B447" s="53"/>
      <c r="D447" s="53"/>
    </row>
    <row r="448">
      <c r="B448" s="53"/>
      <c r="D448" s="53"/>
    </row>
    <row r="449">
      <c r="B449" s="53"/>
      <c r="D449" s="53"/>
    </row>
    <row r="450">
      <c r="B450" s="53"/>
      <c r="D450" s="53"/>
    </row>
    <row r="451">
      <c r="B451" s="53"/>
      <c r="D451" s="53"/>
    </row>
    <row r="452">
      <c r="B452" s="53"/>
      <c r="D452" s="53"/>
    </row>
    <row r="453">
      <c r="B453" s="53"/>
      <c r="D453" s="53"/>
    </row>
    <row r="454">
      <c r="B454" s="53"/>
      <c r="D454" s="53"/>
    </row>
    <row r="455">
      <c r="B455" s="53"/>
      <c r="D455" s="53"/>
    </row>
    <row r="456">
      <c r="B456" s="53"/>
      <c r="D456" s="53"/>
    </row>
    <row r="457">
      <c r="B457" s="53"/>
      <c r="D457" s="53"/>
    </row>
    <row r="458">
      <c r="B458" s="53"/>
      <c r="D458" s="53"/>
    </row>
    <row r="459">
      <c r="B459" s="53"/>
      <c r="D459" s="53"/>
    </row>
    <row r="460">
      <c r="B460" s="53"/>
      <c r="D460" s="53"/>
    </row>
    <row r="461">
      <c r="B461" s="53"/>
      <c r="D461" s="53"/>
    </row>
    <row r="462">
      <c r="B462" s="53"/>
      <c r="D462" s="53"/>
    </row>
    <row r="463">
      <c r="B463" s="53"/>
      <c r="D463" s="53"/>
    </row>
    <row r="464">
      <c r="B464" s="53"/>
      <c r="D464" s="53"/>
    </row>
    <row r="465">
      <c r="B465" s="53"/>
      <c r="D465" s="53"/>
    </row>
    <row r="466">
      <c r="B466" s="53"/>
      <c r="D466" s="53"/>
    </row>
    <row r="467">
      <c r="B467" s="53"/>
      <c r="D467" s="53"/>
    </row>
    <row r="468">
      <c r="B468" s="53"/>
      <c r="D468" s="53"/>
    </row>
    <row r="469">
      <c r="B469" s="53"/>
      <c r="D469" s="53"/>
    </row>
    <row r="470">
      <c r="B470" s="53"/>
      <c r="D470" s="53"/>
    </row>
    <row r="471">
      <c r="B471" s="53"/>
      <c r="D471" s="53"/>
    </row>
    <row r="472">
      <c r="B472" s="53"/>
      <c r="D472" s="53"/>
    </row>
    <row r="473">
      <c r="B473" s="53"/>
      <c r="D473" s="53"/>
    </row>
    <row r="474">
      <c r="B474" s="53"/>
      <c r="D474" s="53"/>
    </row>
    <row r="475">
      <c r="B475" s="53"/>
      <c r="D475" s="53"/>
    </row>
    <row r="476">
      <c r="B476" s="53"/>
      <c r="D476" s="53"/>
    </row>
    <row r="477">
      <c r="B477" s="53"/>
      <c r="D477" s="53"/>
    </row>
    <row r="478">
      <c r="B478" s="53"/>
      <c r="D478" s="53"/>
    </row>
    <row r="479">
      <c r="B479" s="53"/>
      <c r="D479" s="53"/>
    </row>
    <row r="480">
      <c r="B480" s="53"/>
      <c r="D480" s="53"/>
    </row>
    <row r="481">
      <c r="B481" s="53"/>
      <c r="D481" s="53"/>
    </row>
    <row r="482">
      <c r="B482" s="53"/>
      <c r="D482" s="53"/>
    </row>
    <row r="483">
      <c r="B483" s="53"/>
      <c r="D483" s="53"/>
    </row>
    <row r="484">
      <c r="B484" s="53"/>
      <c r="D484" s="53"/>
    </row>
    <row r="485">
      <c r="B485" s="53"/>
      <c r="D485" s="53"/>
    </row>
    <row r="486">
      <c r="B486" s="53"/>
      <c r="D486" s="53"/>
    </row>
    <row r="487">
      <c r="B487" s="53"/>
      <c r="D487" s="53"/>
    </row>
    <row r="488">
      <c r="B488" s="53"/>
      <c r="D488" s="53"/>
    </row>
    <row r="489">
      <c r="B489" s="53"/>
      <c r="D489" s="53"/>
    </row>
    <row r="490">
      <c r="B490" s="53"/>
      <c r="D490" s="53"/>
    </row>
    <row r="491">
      <c r="B491" s="53"/>
      <c r="D491" s="53"/>
    </row>
    <row r="492">
      <c r="B492" s="53"/>
      <c r="D492" s="53"/>
    </row>
    <row r="493">
      <c r="B493" s="53"/>
      <c r="D493" s="53"/>
    </row>
    <row r="494">
      <c r="B494" s="53"/>
      <c r="D494" s="53"/>
    </row>
    <row r="495">
      <c r="B495" s="53"/>
      <c r="D495" s="53"/>
    </row>
    <row r="496">
      <c r="B496" s="53"/>
      <c r="D496" s="53"/>
    </row>
    <row r="497">
      <c r="B497" s="53"/>
      <c r="D497" s="53"/>
    </row>
    <row r="498">
      <c r="B498" s="53"/>
      <c r="D498" s="53"/>
    </row>
    <row r="499">
      <c r="B499" s="53"/>
      <c r="D499" s="53"/>
    </row>
    <row r="500">
      <c r="B500" s="53"/>
      <c r="D500" s="53"/>
    </row>
    <row r="501">
      <c r="B501" s="53"/>
      <c r="D501" s="53"/>
    </row>
    <row r="502">
      <c r="B502" s="53"/>
      <c r="D502" s="53"/>
    </row>
    <row r="503">
      <c r="B503" s="53"/>
      <c r="D503" s="53"/>
    </row>
    <row r="504">
      <c r="B504" s="53"/>
      <c r="D504" s="53"/>
    </row>
    <row r="505">
      <c r="B505" s="53"/>
      <c r="D505" s="53"/>
    </row>
    <row r="506">
      <c r="B506" s="53"/>
      <c r="D506" s="53"/>
    </row>
    <row r="507">
      <c r="B507" s="53"/>
      <c r="D507" s="53"/>
    </row>
    <row r="508">
      <c r="B508" s="53"/>
      <c r="D508" s="53"/>
    </row>
    <row r="509">
      <c r="B509" s="53"/>
      <c r="D509" s="53"/>
    </row>
    <row r="510">
      <c r="B510" s="53"/>
      <c r="D510" s="53"/>
    </row>
    <row r="511">
      <c r="B511" s="53"/>
      <c r="D511" s="53"/>
    </row>
    <row r="512">
      <c r="B512" s="53"/>
      <c r="D512" s="53"/>
    </row>
    <row r="513">
      <c r="B513" s="53"/>
      <c r="D513" s="53"/>
    </row>
    <row r="514">
      <c r="B514" s="53"/>
      <c r="D514" s="53"/>
    </row>
    <row r="515">
      <c r="B515" s="53"/>
      <c r="D515" s="53"/>
    </row>
    <row r="516">
      <c r="B516" s="53"/>
      <c r="D516" s="53"/>
    </row>
    <row r="517">
      <c r="B517" s="53"/>
      <c r="D517" s="53"/>
    </row>
    <row r="518">
      <c r="B518" s="53"/>
      <c r="D518" s="53"/>
    </row>
    <row r="519">
      <c r="B519" s="53"/>
      <c r="D519" s="53"/>
    </row>
    <row r="520">
      <c r="B520" s="53"/>
      <c r="D520" s="53"/>
    </row>
    <row r="521">
      <c r="B521" s="53"/>
      <c r="D521" s="53"/>
    </row>
    <row r="522">
      <c r="B522" s="53"/>
      <c r="D522" s="53"/>
    </row>
    <row r="523">
      <c r="B523" s="53"/>
      <c r="D523" s="53"/>
    </row>
    <row r="524">
      <c r="B524" s="53"/>
      <c r="D524" s="53"/>
    </row>
    <row r="525">
      <c r="B525" s="53"/>
      <c r="D525" s="53"/>
    </row>
    <row r="526">
      <c r="B526" s="53"/>
      <c r="D526" s="53"/>
    </row>
    <row r="527">
      <c r="B527" s="53"/>
      <c r="D527" s="53"/>
    </row>
    <row r="528">
      <c r="B528" s="53"/>
      <c r="D528" s="53"/>
    </row>
    <row r="529">
      <c r="B529" s="53"/>
      <c r="D529" s="53"/>
    </row>
    <row r="530">
      <c r="B530" s="53"/>
      <c r="D530" s="53"/>
    </row>
    <row r="531">
      <c r="B531" s="53"/>
      <c r="D531" s="53"/>
    </row>
    <row r="532">
      <c r="B532" s="53"/>
      <c r="D532" s="53"/>
    </row>
    <row r="533">
      <c r="B533" s="53"/>
      <c r="D533" s="53"/>
    </row>
    <row r="534">
      <c r="B534" s="53"/>
      <c r="D534" s="53"/>
    </row>
    <row r="535">
      <c r="B535" s="53"/>
      <c r="D535" s="53"/>
    </row>
    <row r="536">
      <c r="B536" s="53"/>
      <c r="D536" s="53"/>
    </row>
    <row r="537">
      <c r="B537" s="53"/>
      <c r="D537" s="53"/>
    </row>
    <row r="538">
      <c r="B538" s="53"/>
      <c r="D538" s="53"/>
    </row>
    <row r="539">
      <c r="B539" s="53"/>
      <c r="D539" s="53"/>
    </row>
    <row r="540">
      <c r="B540" s="53"/>
      <c r="D540" s="53"/>
    </row>
    <row r="541">
      <c r="B541" s="53"/>
      <c r="D541" s="53"/>
    </row>
    <row r="542">
      <c r="B542" s="53"/>
      <c r="D542" s="53"/>
    </row>
    <row r="543">
      <c r="B543" s="53"/>
      <c r="D543" s="53"/>
    </row>
    <row r="544">
      <c r="B544" s="53"/>
      <c r="D544" s="53"/>
    </row>
    <row r="545">
      <c r="B545" s="53"/>
      <c r="D545" s="53"/>
    </row>
    <row r="546">
      <c r="B546" s="53"/>
      <c r="D546" s="53"/>
    </row>
    <row r="547">
      <c r="B547" s="53"/>
      <c r="D547" s="53"/>
    </row>
    <row r="548">
      <c r="B548" s="53"/>
      <c r="D548" s="53"/>
    </row>
    <row r="549">
      <c r="B549" s="53"/>
      <c r="D549" s="53"/>
    </row>
    <row r="550">
      <c r="B550" s="53"/>
      <c r="D550" s="53"/>
    </row>
    <row r="551">
      <c r="B551" s="53"/>
      <c r="D551" s="53"/>
    </row>
    <row r="552">
      <c r="B552" s="53"/>
      <c r="D552" s="53"/>
    </row>
    <row r="553">
      <c r="B553" s="53"/>
      <c r="D553" s="53"/>
    </row>
    <row r="554">
      <c r="B554" s="53"/>
      <c r="D554" s="53"/>
    </row>
    <row r="555">
      <c r="B555" s="53"/>
      <c r="D555" s="53"/>
    </row>
    <row r="556">
      <c r="B556" s="53"/>
      <c r="D556" s="53"/>
    </row>
    <row r="557">
      <c r="B557" s="53"/>
      <c r="D557" s="53"/>
    </row>
    <row r="558">
      <c r="B558" s="53"/>
      <c r="D558" s="53"/>
    </row>
    <row r="559">
      <c r="B559" s="53"/>
      <c r="D559" s="53"/>
    </row>
    <row r="560">
      <c r="B560" s="53"/>
      <c r="D560" s="53"/>
    </row>
    <row r="561">
      <c r="B561" s="53"/>
      <c r="D561" s="53"/>
    </row>
    <row r="562">
      <c r="B562" s="53"/>
      <c r="D562" s="53"/>
    </row>
    <row r="563">
      <c r="B563" s="53"/>
      <c r="D563" s="53"/>
    </row>
    <row r="564">
      <c r="B564" s="53"/>
      <c r="D564" s="53"/>
    </row>
    <row r="565">
      <c r="B565" s="53"/>
      <c r="D565" s="53"/>
    </row>
    <row r="566">
      <c r="B566" s="53"/>
      <c r="D566" s="53"/>
    </row>
    <row r="567">
      <c r="B567" s="53"/>
      <c r="D567" s="53"/>
    </row>
    <row r="568">
      <c r="B568" s="53"/>
      <c r="D568" s="53"/>
    </row>
    <row r="569">
      <c r="B569" s="53"/>
      <c r="D569" s="53"/>
    </row>
    <row r="570">
      <c r="B570" s="53"/>
      <c r="D570" s="53"/>
    </row>
    <row r="571">
      <c r="B571" s="53"/>
      <c r="D571" s="53"/>
    </row>
    <row r="572">
      <c r="B572" s="53"/>
      <c r="D572" s="53"/>
    </row>
    <row r="573">
      <c r="B573" s="53"/>
      <c r="D573" s="53"/>
    </row>
    <row r="574">
      <c r="B574" s="53"/>
      <c r="D574" s="53"/>
    </row>
    <row r="575">
      <c r="B575" s="53"/>
      <c r="D575" s="53"/>
    </row>
    <row r="576">
      <c r="B576" s="53"/>
      <c r="D576" s="53"/>
    </row>
    <row r="577">
      <c r="B577" s="53"/>
      <c r="D577" s="53"/>
    </row>
    <row r="578">
      <c r="B578" s="53"/>
      <c r="D578" s="53"/>
    </row>
    <row r="579">
      <c r="B579" s="53"/>
      <c r="D579" s="53"/>
    </row>
    <row r="580">
      <c r="B580" s="53"/>
      <c r="D580" s="53"/>
    </row>
    <row r="581">
      <c r="B581" s="53"/>
      <c r="D581" s="53"/>
    </row>
    <row r="582">
      <c r="B582" s="53"/>
      <c r="D582" s="53"/>
    </row>
    <row r="583">
      <c r="B583" s="53"/>
      <c r="D583" s="53"/>
    </row>
    <row r="584">
      <c r="B584" s="53"/>
      <c r="D584" s="53"/>
    </row>
    <row r="585">
      <c r="B585" s="53"/>
      <c r="D585" s="53"/>
    </row>
    <row r="586">
      <c r="B586" s="53"/>
      <c r="D586" s="53"/>
    </row>
    <row r="587">
      <c r="B587" s="53"/>
      <c r="D587" s="53"/>
    </row>
    <row r="588">
      <c r="B588" s="53"/>
      <c r="D588" s="53"/>
    </row>
    <row r="589">
      <c r="B589" s="53"/>
      <c r="D589" s="53"/>
    </row>
    <row r="590">
      <c r="B590" s="53"/>
      <c r="D590" s="53"/>
    </row>
    <row r="591">
      <c r="B591" s="53"/>
      <c r="D591" s="53"/>
    </row>
    <row r="592">
      <c r="B592" s="53"/>
      <c r="D592" s="53"/>
    </row>
    <row r="593">
      <c r="B593" s="53"/>
      <c r="D593" s="53"/>
    </row>
    <row r="594">
      <c r="B594" s="53"/>
      <c r="D594" s="53"/>
    </row>
    <row r="595">
      <c r="B595" s="53"/>
      <c r="D595" s="53"/>
    </row>
    <row r="596">
      <c r="B596" s="53"/>
      <c r="D596" s="53"/>
    </row>
    <row r="597">
      <c r="B597" s="53"/>
      <c r="D597" s="53"/>
    </row>
    <row r="598">
      <c r="B598" s="53"/>
      <c r="D598" s="53"/>
    </row>
    <row r="599">
      <c r="B599" s="53"/>
      <c r="D599" s="53"/>
    </row>
    <row r="600">
      <c r="B600" s="53"/>
      <c r="D600" s="53"/>
    </row>
    <row r="601">
      <c r="B601" s="53"/>
      <c r="D601" s="53"/>
    </row>
    <row r="602">
      <c r="B602" s="53"/>
      <c r="D602" s="53"/>
    </row>
    <row r="603">
      <c r="B603" s="53"/>
      <c r="D603" s="53"/>
    </row>
    <row r="604">
      <c r="B604" s="53"/>
      <c r="D604" s="53"/>
    </row>
    <row r="605">
      <c r="B605" s="53"/>
      <c r="D605" s="53"/>
    </row>
    <row r="606">
      <c r="B606" s="53"/>
      <c r="D606" s="53"/>
    </row>
    <row r="607">
      <c r="B607" s="53"/>
      <c r="D607" s="53"/>
    </row>
    <row r="608">
      <c r="B608" s="53"/>
      <c r="D608" s="53"/>
    </row>
    <row r="609">
      <c r="B609" s="53"/>
      <c r="D609" s="53"/>
    </row>
    <row r="610">
      <c r="B610" s="53"/>
      <c r="D610" s="53"/>
    </row>
    <row r="611">
      <c r="B611" s="53"/>
      <c r="D611" s="53"/>
    </row>
    <row r="612">
      <c r="B612" s="53"/>
      <c r="D612" s="53"/>
    </row>
    <row r="613">
      <c r="B613" s="53"/>
      <c r="D613" s="53"/>
    </row>
    <row r="614">
      <c r="B614" s="53"/>
      <c r="D614" s="53"/>
    </row>
    <row r="615">
      <c r="B615" s="53"/>
      <c r="D615" s="53"/>
    </row>
    <row r="616">
      <c r="B616" s="53"/>
      <c r="D616" s="53"/>
    </row>
    <row r="617">
      <c r="B617" s="53"/>
      <c r="D617" s="53"/>
    </row>
    <row r="618">
      <c r="B618" s="53"/>
      <c r="D618" s="53"/>
    </row>
    <row r="619">
      <c r="B619" s="53"/>
      <c r="D619" s="53"/>
    </row>
    <row r="620">
      <c r="B620" s="53"/>
      <c r="D620" s="53"/>
    </row>
    <row r="621">
      <c r="B621" s="53"/>
      <c r="D621" s="53"/>
    </row>
    <row r="622">
      <c r="B622" s="53"/>
      <c r="D622" s="53"/>
    </row>
    <row r="623">
      <c r="B623" s="53"/>
      <c r="D623" s="53"/>
    </row>
    <row r="624">
      <c r="B624" s="53"/>
      <c r="D624" s="53"/>
    </row>
    <row r="625">
      <c r="B625" s="53"/>
      <c r="D625" s="53"/>
    </row>
    <row r="626">
      <c r="B626" s="53"/>
      <c r="D626" s="53"/>
    </row>
    <row r="627">
      <c r="B627" s="53"/>
      <c r="D627" s="53"/>
    </row>
    <row r="628">
      <c r="B628" s="53"/>
      <c r="D628" s="53"/>
    </row>
    <row r="629">
      <c r="B629" s="53"/>
      <c r="D629" s="53"/>
    </row>
    <row r="630">
      <c r="B630" s="53"/>
      <c r="D630" s="53"/>
    </row>
    <row r="631">
      <c r="B631" s="53"/>
      <c r="D631" s="53"/>
    </row>
    <row r="632">
      <c r="B632" s="53"/>
      <c r="D632" s="53"/>
    </row>
    <row r="633">
      <c r="B633" s="53"/>
      <c r="D633" s="53"/>
    </row>
    <row r="634">
      <c r="B634" s="53"/>
      <c r="D634" s="53"/>
    </row>
    <row r="635">
      <c r="B635" s="53"/>
      <c r="D635" s="53"/>
    </row>
    <row r="636">
      <c r="B636" s="53"/>
      <c r="D636" s="53"/>
    </row>
    <row r="637">
      <c r="B637" s="53"/>
      <c r="D637" s="53"/>
    </row>
    <row r="638">
      <c r="B638" s="53"/>
      <c r="D638" s="53"/>
    </row>
    <row r="639">
      <c r="B639" s="53"/>
      <c r="D639" s="53"/>
    </row>
    <row r="640">
      <c r="B640" s="53"/>
      <c r="D640" s="53"/>
    </row>
    <row r="641">
      <c r="B641" s="53"/>
      <c r="D641" s="53"/>
    </row>
    <row r="642">
      <c r="B642" s="53"/>
      <c r="D642" s="53"/>
    </row>
    <row r="643">
      <c r="B643" s="53"/>
      <c r="D643" s="53"/>
    </row>
    <row r="644">
      <c r="B644" s="53"/>
      <c r="D644" s="53"/>
    </row>
    <row r="645">
      <c r="B645" s="53"/>
      <c r="D645" s="53"/>
    </row>
    <row r="646">
      <c r="B646" s="53"/>
      <c r="D646" s="53"/>
    </row>
    <row r="647">
      <c r="B647" s="53"/>
      <c r="D647" s="53"/>
    </row>
    <row r="648">
      <c r="B648" s="53"/>
      <c r="D648" s="53"/>
    </row>
    <row r="649">
      <c r="B649" s="53"/>
      <c r="D649" s="53"/>
    </row>
    <row r="650">
      <c r="B650" s="53"/>
      <c r="D650" s="53"/>
    </row>
    <row r="651">
      <c r="B651" s="53"/>
      <c r="D651" s="53"/>
    </row>
    <row r="652">
      <c r="B652" s="53"/>
      <c r="D652" s="53"/>
    </row>
    <row r="653">
      <c r="B653" s="53"/>
      <c r="D653" s="53"/>
    </row>
    <row r="654">
      <c r="B654" s="53"/>
      <c r="D654" s="53"/>
    </row>
    <row r="655">
      <c r="B655" s="53"/>
      <c r="D655" s="53"/>
    </row>
    <row r="656">
      <c r="B656" s="53"/>
      <c r="D656" s="53"/>
    </row>
    <row r="657">
      <c r="B657" s="53"/>
      <c r="D657" s="53"/>
    </row>
    <row r="658">
      <c r="B658" s="53"/>
      <c r="D658" s="53"/>
    </row>
    <row r="659">
      <c r="B659" s="53"/>
      <c r="D659" s="53"/>
    </row>
    <row r="660">
      <c r="B660" s="53"/>
      <c r="D660" s="53"/>
    </row>
    <row r="661">
      <c r="B661" s="53"/>
      <c r="D661" s="53"/>
    </row>
    <row r="662">
      <c r="B662" s="53"/>
      <c r="D662" s="53"/>
    </row>
    <row r="663">
      <c r="B663" s="53"/>
      <c r="D663" s="53"/>
    </row>
    <row r="664">
      <c r="B664" s="53"/>
      <c r="D664" s="53"/>
    </row>
    <row r="665">
      <c r="B665" s="53"/>
      <c r="D665" s="53"/>
    </row>
    <row r="666">
      <c r="B666" s="53"/>
      <c r="D666" s="53"/>
    </row>
    <row r="667">
      <c r="B667" s="53"/>
      <c r="D667" s="53"/>
    </row>
    <row r="668">
      <c r="B668" s="53"/>
      <c r="D668" s="53"/>
    </row>
    <row r="669">
      <c r="B669" s="53"/>
      <c r="D669" s="53"/>
    </row>
    <row r="670">
      <c r="B670" s="53"/>
      <c r="D670" s="53"/>
    </row>
    <row r="671">
      <c r="B671" s="53"/>
      <c r="D671" s="53"/>
    </row>
    <row r="672">
      <c r="B672" s="53"/>
      <c r="D672" s="53"/>
    </row>
    <row r="673">
      <c r="B673" s="53"/>
      <c r="D673" s="53"/>
    </row>
    <row r="674">
      <c r="B674" s="53"/>
      <c r="D674" s="53"/>
    </row>
    <row r="675">
      <c r="B675" s="53"/>
      <c r="D675" s="53"/>
    </row>
    <row r="676">
      <c r="B676" s="53"/>
      <c r="D676" s="53"/>
    </row>
    <row r="677">
      <c r="B677" s="53"/>
      <c r="D677" s="53"/>
    </row>
    <row r="678">
      <c r="B678" s="53"/>
      <c r="D678" s="53"/>
    </row>
    <row r="679">
      <c r="B679" s="53"/>
      <c r="D679" s="53"/>
    </row>
    <row r="680">
      <c r="B680" s="53"/>
      <c r="D680" s="53"/>
    </row>
    <row r="681">
      <c r="B681" s="53"/>
      <c r="D681" s="53"/>
    </row>
    <row r="682">
      <c r="B682" s="53"/>
      <c r="D682" s="53"/>
    </row>
    <row r="683">
      <c r="B683" s="53"/>
      <c r="D683" s="53"/>
    </row>
    <row r="684">
      <c r="B684" s="53"/>
      <c r="D684" s="53"/>
    </row>
    <row r="685">
      <c r="B685" s="53"/>
      <c r="D685" s="53"/>
    </row>
    <row r="686">
      <c r="B686" s="53"/>
      <c r="D686" s="53"/>
    </row>
    <row r="687">
      <c r="B687" s="53"/>
      <c r="D687" s="53"/>
    </row>
    <row r="688">
      <c r="B688" s="53"/>
      <c r="D688" s="53"/>
    </row>
    <row r="689">
      <c r="B689" s="53"/>
      <c r="D689" s="53"/>
    </row>
    <row r="690">
      <c r="B690" s="53"/>
      <c r="D690" s="53"/>
    </row>
    <row r="691">
      <c r="B691" s="53"/>
      <c r="D691" s="53"/>
    </row>
    <row r="692">
      <c r="B692" s="53"/>
      <c r="D692" s="53"/>
    </row>
    <row r="693">
      <c r="B693" s="53"/>
      <c r="D693" s="53"/>
    </row>
    <row r="694">
      <c r="B694" s="53"/>
      <c r="D694" s="53"/>
    </row>
    <row r="695">
      <c r="B695" s="53"/>
      <c r="D695" s="53"/>
    </row>
    <row r="696">
      <c r="B696" s="53"/>
      <c r="D696" s="53"/>
    </row>
    <row r="697">
      <c r="B697" s="53"/>
      <c r="D697" s="53"/>
    </row>
    <row r="698">
      <c r="B698" s="53"/>
      <c r="D698" s="53"/>
    </row>
    <row r="699">
      <c r="B699" s="53"/>
      <c r="D699" s="53"/>
    </row>
    <row r="700">
      <c r="B700" s="53"/>
      <c r="D700" s="53"/>
    </row>
    <row r="701">
      <c r="B701" s="53"/>
      <c r="D701" s="53"/>
    </row>
    <row r="702">
      <c r="B702" s="53"/>
      <c r="D702" s="53"/>
    </row>
    <row r="703">
      <c r="B703" s="53"/>
      <c r="D703" s="53"/>
    </row>
    <row r="704">
      <c r="B704" s="53"/>
      <c r="D704" s="53"/>
    </row>
    <row r="705">
      <c r="B705" s="53"/>
      <c r="D705" s="53"/>
    </row>
    <row r="706">
      <c r="B706" s="53"/>
      <c r="D706" s="53"/>
    </row>
    <row r="707">
      <c r="B707" s="53"/>
      <c r="D707" s="53"/>
    </row>
    <row r="708">
      <c r="B708" s="53"/>
      <c r="D708" s="53"/>
    </row>
    <row r="709">
      <c r="B709" s="53"/>
      <c r="D709" s="53"/>
    </row>
    <row r="710">
      <c r="B710" s="53"/>
      <c r="D710" s="53"/>
    </row>
    <row r="711">
      <c r="B711" s="53"/>
      <c r="D711" s="53"/>
    </row>
    <row r="712">
      <c r="B712" s="53"/>
      <c r="D712" s="53"/>
    </row>
    <row r="713">
      <c r="B713" s="53"/>
      <c r="D713" s="53"/>
    </row>
    <row r="714">
      <c r="B714" s="53"/>
      <c r="D714" s="53"/>
    </row>
    <row r="715">
      <c r="B715" s="53"/>
      <c r="D715" s="53"/>
    </row>
    <row r="716">
      <c r="B716" s="53"/>
      <c r="D716" s="53"/>
    </row>
    <row r="717">
      <c r="B717" s="53"/>
      <c r="D717" s="53"/>
    </row>
    <row r="718">
      <c r="B718" s="53"/>
      <c r="D718" s="53"/>
    </row>
    <row r="719">
      <c r="B719" s="53"/>
      <c r="D719" s="53"/>
    </row>
    <row r="720">
      <c r="B720" s="53"/>
      <c r="D720" s="53"/>
    </row>
    <row r="721">
      <c r="B721" s="53"/>
      <c r="D721" s="53"/>
    </row>
    <row r="722">
      <c r="B722" s="53"/>
      <c r="D722" s="53"/>
    </row>
    <row r="723">
      <c r="B723" s="53"/>
      <c r="D723" s="53"/>
    </row>
    <row r="724">
      <c r="B724" s="53"/>
      <c r="D724" s="53"/>
    </row>
    <row r="725">
      <c r="B725" s="53"/>
      <c r="D725" s="53"/>
    </row>
    <row r="726">
      <c r="B726" s="53"/>
      <c r="D726" s="53"/>
    </row>
    <row r="727">
      <c r="B727" s="53"/>
      <c r="D727" s="53"/>
    </row>
    <row r="728">
      <c r="B728" s="53"/>
      <c r="D728" s="53"/>
    </row>
    <row r="729">
      <c r="B729" s="53"/>
      <c r="D729" s="53"/>
    </row>
    <row r="730">
      <c r="B730" s="53"/>
      <c r="D730" s="53"/>
    </row>
    <row r="731">
      <c r="B731" s="53"/>
      <c r="D731" s="53"/>
    </row>
    <row r="732">
      <c r="B732" s="53"/>
      <c r="D732" s="53"/>
    </row>
    <row r="733">
      <c r="B733" s="53"/>
      <c r="D733" s="53"/>
    </row>
    <row r="734">
      <c r="B734" s="53"/>
      <c r="D734" s="53"/>
    </row>
    <row r="735">
      <c r="B735" s="53"/>
      <c r="D735" s="53"/>
    </row>
    <row r="736">
      <c r="B736" s="53"/>
      <c r="D736" s="53"/>
    </row>
    <row r="737">
      <c r="B737" s="53"/>
      <c r="D737" s="53"/>
    </row>
    <row r="738">
      <c r="B738" s="53"/>
      <c r="D738" s="53"/>
    </row>
    <row r="739">
      <c r="B739" s="53"/>
      <c r="D739" s="53"/>
    </row>
    <row r="740">
      <c r="B740" s="53"/>
      <c r="D740" s="53"/>
    </row>
    <row r="741">
      <c r="B741" s="53"/>
      <c r="D741" s="53"/>
    </row>
    <row r="742">
      <c r="B742" s="53"/>
      <c r="D742" s="53"/>
    </row>
    <row r="743">
      <c r="B743" s="53"/>
      <c r="D743" s="53"/>
    </row>
    <row r="744">
      <c r="B744" s="53"/>
      <c r="D744" s="53"/>
    </row>
    <row r="745">
      <c r="B745" s="53"/>
      <c r="D745" s="53"/>
    </row>
    <row r="746">
      <c r="B746" s="53"/>
      <c r="D746" s="53"/>
    </row>
    <row r="747">
      <c r="B747" s="53"/>
      <c r="D747" s="53"/>
    </row>
    <row r="748">
      <c r="B748" s="53"/>
      <c r="D748" s="53"/>
    </row>
    <row r="749">
      <c r="B749" s="53"/>
      <c r="D749" s="53"/>
    </row>
    <row r="750">
      <c r="B750" s="53"/>
      <c r="D750" s="53"/>
    </row>
    <row r="751">
      <c r="B751" s="53"/>
      <c r="D751" s="53"/>
    </row>
    <row r="752">
      <c r="B752" s="53"/>
      <c r="D752" s="53"/>
    </row>
    <row r="753">
      <c r="B753" s="53"/>
      <c r="D753" s="53"/>
    </row>
    <row r="754">
      <c r="B754" s="53"/>
      <c r="D754" s="53"/>
    </row>
    <row r="755">
      <c r="B755" s="53"/>
      <c r="D755" s="53"/>
    </row>
    <row r="756">
      <c r="B756" s="53"/>
      <c r="D756" s="53"/>
    </row>
    <row r="757">
      <c r="B757" s="53"/>
      <c r="D757" s="53"/>
    </row>
    <row r="758">
      <c r="B758" s="53"/>
      <c r="D758" s="53"/>
    </row>
    <row r="759">
      <c r="B759" s="53"/>
      <c r="D759" s="53"/>
    </row>
    <row r="760">
      <c r="B760" s="53"/>
      <c r="D760" s="53"/>
    </row>
    <row r="761">
      <c r="B761" s="53"/>
      <c r="D761" s="53"/>
    </row>
    <row r="762">
      <c r="B762" s="53"/>
      <c r="D762" s="53"/>
    </row>
    <row r="763">
      <c r="B763" s="53"/>
      <c r="D763" s="53"/>
    </row>
    <row r="764">
      <c r="B764" s="53"/>
      <c r="D764" s="53"/>
    </row>
    <row r="765">
      <c r="B765" s="53"/>
      <c r="D765" s="53"/>
    </row>
    <row r="766">
      <c r="B766" s="53"/>
      <c r="D766" s="53"/>
    </row>
    <row r="767">
      <c r="B767" s="53"/>
      <c r="D767" s="53"/>
    </row>
    <row r="768">
      <c r="B768" s="53"/>
      <c r="D768" s="53"/>
    </row>
    <row r="769">
      <c r="B769" s="53"/>
      <c r="D769" s="53"/>
    </row>
    <row r="770">
      <c r="B770" s="53"/>
      <c r="D770" s="53"/>
    </row>
    <row r="771">
      <c r="B771" s="53"/>
      <c r="D771" s="53"/>
    </row>
    <row r="772">
      <c r="B772" s="53"/>
      <c r="D772" s="53"/>
    </row>
    <row r="773">
      <c r="B773" s="53"/>
      <c r="D773" s="53"/>
    </row>
    <row r="774">
      <c r="B774" s="53"/>
      <c r="D774" s="53"/>
    </row>
    <row r="775">
      <c r="B775" s="53"/>
      <c r="D775" s="53"/>
    </row>
    <row r="776">
      <c r="B776" s="53"/>
      <c r="D776" s="53"/>
    </row>
    <row r="777">
      <c r="B777" s="53"/>
      <c r="D777" s="53"/>
    </row>
    <row r="778">
      <c r="B778" s="53"/>
      <c r="D778" s="53"/>
    </row>
    <row r="779">
      <c r="B779" s="53"/>
      <c r="D779" s="53"/>
    </row>
    <row r="780">
      <c r="B780" s="53"/>
      <c r="D780" s="53"/>
    </row>
    <row r="781">
      <c r="B781" s="53"/>
      <c r="D781" s="53"/>
    </row>
    <row r="782">
      <c r="B782" s="53"/>
      <c r="D782" s="53"/>
    </row>
    <row r="783">
      <c r="B783" s="53"/>
      <c r="D783" s="53"/>
    </row>
    <row r="784">
      <c r="B784" s="53"/>
      <c r="D784" s="53"/>
    </row>
    <row r="785">
      <c r="B785" s="53"/>
      <c r="D785" s="53"/>
    </row>
    <row r="786">
      <c r="B786" s="53"/>
      <c r="D786" s="53"/>
    </row>
    <row r="787">
      <c r="B787" s="53"/>
      <c r="D787" s="53"/>
    </row>
    <row r="788">
      <c r="B788" s="53"/>
      <c r="D788" s="53"/>
    </row>
    <row r="789">
      <c r="B789" s="53"/>
      <c r="D789" s="53"/>
    </row>
    <row r="790">
      <c r="B790" s="53"/>
      <c r="D790" s="53"/>
    </row>
    <row r="791">
      <c r="B791" s="53"/>
      <c r="D791" s="53"/>
    </row>
    <row r="792">
      <c r="B792" s="53"/>
      <c r="D792" s="53"/>
    </row>
    <row r="793">
      <c r="B793" s="53"/>
      <c r="D793" s="53"/>
    </row>
    <row r="794">
      <c r="B794" s="53"/>
      <c r="D794" s="53"/>
    </row>
    <row r="795">
      <c r="B795" s="53"/>
      <c r="D795" s="53"/>
    </row>
    <row r="796">
      <c r="B796" s="53"/>
      <c r="D796" s="53"/>
    </row>
    <row r="797">
      <c r="B797" s="53"/>
      <c r="D797" s="53"/>
    </row>
    <row r="798">
      <c r="B798" s="53"/>
      <c r="D798" s="53"/>
    </row>
    <row r="799">
      <c r="B799" s="53"/>
      <c r="D799" s="53"/>
    </row>
    <row r="800">
      <c r="B800" s="53"/>
      <c r="D800" s="53"/>
    </row>
    <row r="801">
      <c r="B801" s="53"/>
      <c r="D801" s="53"/>
    </row>
    <row r="802">
      <c r="B802" s="53"/>
      <c r="D802" s="53"/>
    </row>
    <row r="803">
      <c r="B803" s="53"/>
      <c r="D803" s="53"/>
    </row>
    <row r="804">
      <c r="B804" s="53"/>
      <c r="D804" s="53"/>
    </row>
    <row r="805">
      <c r="B805" s="53"/>
      <c r="D805" s="53"/>
    </row>
    <row r="806">
      <c r="B806" s="53"/>
      <c r="D806" s="53"/>
    </row>
    <row r="807">
      <c r="B807" s="53"/>
      <c r="D807" s="53"/>
    </row>
    <row r="808">
      <c r="B808" s="53"/>
      <c r="D808" s="53"/>
    </row>
    <row r="809">
      <c r="B809" s="53"/>
      <c r="D809" s="53"/>
    </row>
    <row r="810">
      <c r="B810" s="53"/>
      <c r="D810" s="53"/>
    </row>
    <row r="811">
      <c r="B811" s="53"/>
      <c r="D811" s="53"/>
    </row>
    <row r="812">
      <c r="B812" s="53"/>
      <c r="D812" s="53"/>
    </row>
    <row r="813">
      <c r="B813" s="53"/>
      <c r="D813" s="53"/>
    </row>
    <row r="814">
      <c r="B814" s="53"/>
      <c r="D814" s="53"/>
    </row>
    <row r="815">
      <c r="B815" s="53"/>
      <c r="D815" s="53"/>
    </row>
    <row r="816">
      <c r="B816" s="53"/>
      <c r="D816" s="53"/>
    </row>
    <row r="817">
      <c r="B817" s="53"/>
      <c r="D817" s="53"/>
    </row>
    <row r="818">
      <c r="B818" s="53"/>
      <c r="D818" s="53"/>
    </row>
    <row r="819">
      <c r="B819" s="53"/>
      <c r="D819" s="53"/>
    </row>
    <row r="820">
      <c r="B820" s="53"/>
      <c r="D820" s="53"/>
    </row>
    <row r="821">
      <c r="B821" s="53"/>
      <c r="D821" s="53"/>
    </row>
    <row r="822">
      <c r="B822" s="53"/>
      <c r="D822" s="53"/>
    </row>
    <row r="823">
      <c r="B823" s="53"/>
      <c r="D823" s="53"/>
    </row>
    <row r="824">
      <c r="B824" s="53"/>
      <c r="D824" s="53"/>
    </row>
    <row r="825">
      <c r="B825" s="53"/>
      <c r="D825" s="53"/>
    </row>
    <row r="826">
      <c r="B826" s="53"/>
      <c r="D826" s="53"/>
    </row>
    <row r="827">
      <c r="B827" s="53"/>
      <c r="D827" s="53"/>
    </row>
    <row r="828">
      <c r="B828" s="53"/>
      <c r="D828" s="53"/>
    </row>
    <row r="829">
      <c r="B829" s="53"/>
      <c r="D829" s="53"/>
    </row>
    <row r="830">
      <c r="B830" s="53"/>
      <c r="D830" s="53"/>
    </row>
    <row r="831">
      <c r="B831" s="53"/>
      <c r="D831" s="53"/>
    </row>
    <row r="832">
      <c r="B832" s="53"/>
      <c r="D832" s="53"/>
    </row>
    <row r="833">
      <c r="B833" s="53"/>
      <c r="D833" s="53"/>
    </row>
    <row r="834">
      <c r="B834" s="53"/>
      <c r="D834" s="53"/>
    </row>
    <row r="835">
      <c r="B835" s="53"/>
      <c r="D835" s="53"/>
    </row>
    <row r="836">
      <c r="B836" s="53"/>
      <c r="D836" s="53"/>
    </row>
    <row r="837">
      <c r="B837" s="53"/>
      <c r="D837" s="53"/>
    </row>
    <row r="838">
      <c r="B838" s="53"/>
      <c r="D838" s="53"/>
    </row>
    <row r="839">
      <c r="B839" s="53"/>
      <c r="D839" s="53"/>
    </row>
    <row r="840">
      <c r="B840" s="53"/>
      <c r="D840" s="53"/>
    </row>
    <row r="841">
      <c r="B841" s="53"/>
      <c r="D841" s="53"/>
    </row>
    <row r="842">
      <c r="B842" s="53"/>
      <c r="D842" s="53"/>
    </row>
    <row r="843">
      <c r="B843" s="53"/>
      <c r="D843" s="53"/>
    </row>
    <row r="844">
      <c r="B844" s="53"/>
      <c r="D844" s="53"/>
    </row>
    <row r="845">
      <c r="B845" s="53"/>
      <c r="D845" s="53"/>
    </row>
    <row r="846">
      <c r="B846" s="53"/>
      <c r="D846" s="53"/>
    </row>
    <row r="847">
      <c r="B847" s="53"/>
      <c r="D847" s="53"/>
    </row>
    <row r="848">
      <c r="B848" s="53"/>
      <c r="D848" s="53"/>
    </row>
    <row r="849">
      <c r="B849" s="53"/>
      <c r="D849" s="53"/>
    </row>
    <row r="850">
      <c r="B850" s="53"/>
      <c r="D850" s="53"/>
    </row>
    <row r="851">
      <c r="B851" s="53"/>
      <c r="D851" s="53"/>
    </row>
    <row r="852">
      <c r="B852" s="53"/>
      <c r="D852" s="53"/>
    </row>
    <row r="853">
      <c r="B853" s="53"/>
      <c r="D853" s="53"/>
    </row>
    <row r="854">
      <c r="B854" s="53"/>
      <c r="D854" s="53"/>
    </row>
    <row r="855">
      <c r="B855" s="53"/>
      <c r="D855" s="53"/>
    </row>
    <row r="856">
      <c r="B856" s="53"/>
      <c r="D856" s="53"/>
    </row>
    <row r="857">
      <c r="B857" s="53"/>
      <c r="D857" s="53"/>
    </row>
    <row r="858">
      <c r="B858" s="53"/>
      <c r="D858" s="53"/>
    </row>
    <row r="859">
      <c r="B859" s="53"/>
      <c r="D859" s="53"/>
    </row>
    <row r="860">
      <c r="B860" s="53"/>
      <c r="D860" s="53"/>
    </row>
    <row r="861">
      <c r="B861" s="53"/>
      <c r="D861" s="53"/>
    </row>
    <row r="862">
      <c r="B862" s="53"/>
      <c r="D862" s="53"/>
    </row>
    <row r="863">
      <c r="B863" s="53"/>
      <c r="D863" s="53"/>
    </row>
    <row r="864">
      <c r="B864" s="53"/>
      <c r="D864" s="53"/>
    </row>
    <row r="865">
      <c r="B865" s="53"/>
      <c r="D865" s="53"/>
    </row>
    <row r="866">
      <c r="B866" s="53"/>
      <c r="D866" s="53"/>
    </row>
    <row r="867">
      <c r="B867" s="53"/>
      <c r="D867" s="53"/>
    </row>
    <row r="868">
      <c r="B868" s="53"/>
      <c r="D868" s="53"/>
    </row>
    <row r="869">
      <c r="B869" s="53"/>
      <c r="D869" s="53"/>
    </row>
    <row r="870">
      <c r="B870" s="53"/>
      <c r="D870" s="53"/>
    </row>
    <row r="871">
      <c r="B871" s="53"/>
      <c r="D871" s="53"/>
    </row>
    <row r="872">
      <c r="B872" s="53"/>
      <c r="D872" s="53"/>
    </row>
    <row r="873">
      <c r="B873" s="53"/>
      <c r="D873" s="53"/>
    </row>
    <row r="874">
      <c r="B874" s="53"/>
      <c r="D874" s="53"/>
    </row>
    <row r="875">
      <c r="B875" s="53"/>
      <c r="D875" s="53"/>
    </row>
    <row r="876">
      <c r="B876" s="53"/>
      <c r="D876" s="53"/>
    </row>
    <row r="877">
      <c r="B877" s="53"/>
      <c r="D877" s="53"/>
    </row>
    <row r="878">
      <c r="B878" s="53"/>
      <c r="D878" s="53"/>
    </row>
    <row r="879">
      <c r="B879" s="53"/>
      <c r="D879" s="53"/>
    </row>
    <row r="880">
      <c r="B880" s="53"/>
      <c r="D880" s="53"/>
    </row>
    <row r="881">
      <c r="B881" s="53"/>
      <c r="D881" s="53"/>
    </row>
    <row r="882">
      <c r="B882" s="53"/>
      <c r="D882" s="53"/>
    </row>
    <row r="883">
      <c r="B883" s="53"/>
      <c r="D883" s="53"/>
    </row>
    <row r="884">
      <c r="B884" s="53"/>
      <c r="D884" s="53"/>
    </row>
    <row r="885">
      <c r="B885" s="53"/>
      <c r="D885" s="53"/>
    </row>
    <row r="886">
      <c r="B886" s="53"/>
      <c r="D886" s="53"/>
    </row>
    <row r="887">
      <c r="B887" s="53"/>
      <c r="D887" s="53"/>
    </row>
    <row r="888">
      <c r="B888" s="53"/>
      <c r="D888" s="53"/>
    </row>
    <row r="889">
      <c r="B889" s="53"/>
      <c r="D889" s="53"/>
    </row>
    <row r="890">
      <c r="B890" s="53"/>
      <c r="D890" s="53"/>
    </row>
    <row r="891">
      <c r="B891" s="53"/>
      <c r="D891" s="53"/>
    </row>
    <row r="892">
      <c r="B892" s="53"/>
      <c r="D892" s="53"/>
    </row>
    <row r="893">
      <c r="B893" s="53"/>
      <c r="D893" s="53"/>
    </row>
    <row r="894">
      <c r="B894" s="53"/>
      <c r="D894" s="53"/>
    </row>
    <row r="895">
      <c r="B895" s="53"/>
      <c r="D895" s="53"/>
    </row>
    <row r="896">
      <c r="B896" s="53"/>
      <c r="D896" s="53"/>
    </row>
    <row r="897">
      <c r="B897" s="53"/>
      <c r="D897" s="53"/>
    </row>
    <row r="898">
      <c r="B898" s="53"/>
      <c r="D898" s="53"/>
    </row>
    <row r="899">
      <c r="B899" s="53"/>
      <c r="D899" s="53"/>
    </row>
    <row r="900">
      <c r="B900" s="53"/>
      <c r="D900" s="53"/>
    </row>
    <row r="901">
      <c r="B901" s="53"/>
      <c r="D901" s="53"/>
    </row>
    <row r="902">
      <c r="B902" s="53"/>
      <c r="D902" s="53"/>
    </row>
    <row r="903">
      <c r="B903" s="53"/>
      <c r="D903" s="53"/>
    </row>
    <row r="904">
      <c r="B904" s="53"/>
      <c r="D904" s="53"/>
    </row>
    <row r="905">
      <c r="B905" s="53"/>
      <c r="D905" s="53"/>
    </row>
    <row r="906">
      <c r="B906" s="53"/>
      <c r="D906" s="53"/>
    </row>
    <row r="907">
      <c r="B907" s="53"/>
      <c r="D907" s="53"/>
    </row>
    <row r="908">
      <c r="B908" s="53"/>
      <c r="D908" s="53"/>
    </row>
    <row r="909">
      <c r="B909" s="53"/>
      <c r="D909" s="53"/>
    </row>
    <row r="910">
      <c r="B910" s="53"/>
      <c r="D910" s="53"/>
    </row>
    <row r="911">
      <c r="B911" s="53"/>
      <c r="D911" s="53"/>
    </row>
    <row r="912">
      <c r="B912" s="53"/>
      <c r="D912" s="53"/>
    </row>
    <row r="913">
      <c r="B913" s="53"/>
      <c r="D913" s="53"/>
    </row>
    <row r="914">
      <c r="B914" s="53"/>
      <c r="D914" s="53"/>
    </row>
    <row r="915">
      <c r="B915" s="53"/>
      <c r="D915" s="53"/>
    </row>
    <row r="916">
      <c r="B916" s="53"/>
      <c r="D916" s="53"/>
    </row>
    <row r="917">
      <c r="B917" s="53"/>
      <c r="D917" s="53"/>
    </row>
    <row r="918">
      <c r="B918" s="53"/>
      <c r="D918" s="53"/>
    </row>
    <row r="919">
      <c r="B919" s="53"/>
      <c r="D919" s="53"/>
    </row>
    <row r="920">
      <c r="B920" s="53"/>
      <c r="D920" s="53"/>
    </row>
    <row r="921">
      <c r="B921" s="53"/>
      <c r="D921" s="53"/>
    </row>
    <row r="922">
      <c r="B922" s="53"/>
      <c r="D922" s="53"/>
    </row>
    <row r="923">
      <c r="B923" s="53"/>
      <c r="D923" s="53"/>
    </row>
    <row r="924">
      <c r="B924" s="53"/>
      <c r="D924" s="53"/>
    </row>
    <row r="925">
      <c r="B925" s="53"/>
      <c r="D925" s="53"/>
    </row>
    <row r="926">
      <c r="B926" s="53"/>
      <c r="D926" s="53"/>
    </row>
    <row r="927">
      <c r="B927" s="53"/>
      <c r="D927" s="53"/>
    </row>
    <row r="928">
      <c r="B928" s="53"/>
      <c r="D928" s="53"/>
    </row>
    <row r="929">
      <c r="B929" s="53"/>
      <c r="D929" s="53"/>
    </row>
    <row r="930">
      <c r="B930" s="53"/>
      <c r="D930" s="53"/>
    </row>
    <row r="931">
      <c r="B931" s="53"/>
      <c r="D931" s="53"/>
    </row>
    <row r="932">
      <c r="B932" s="53"/>
      <c r="D932" s="53"/>
    </row>
    <row r="933">
      <c r="B933" s="53"/>
      <c r="D933" s="53"/>
    </row>
    <row r="934">
      <c r="B934" s="53"/>
      <c r="D934" s="53"/>
    </row>
    <row r="935">
      <c r="B935" s="53"/>
      <c r="D935" s="53"/>
    </row>
    <row r="936">
      <c r="B936" s="53"/>
      <c r="D936" s="53"/>
    </row>
    <row r="937">
      <c r="B937" s="53"/>
      <c r="D937" s="53"/>
    </row>
    <row r="938">
      <c r="B938" s="53"/>
      <c r="D938" s="53"/>
    </row>
    <row r="939">
      <c r="B939" s="53"/>
      <c r="D939" s="53"/>
    </row>
    <row r="940">
      <c r="B940" s="53"/>
      <c r="D940" s="53"/>
    </row>
    <row r="941">
      <c r="B941" s="53"/>
      <c r="D941" s="53"/>
    </row>
    <row r="942">
      <c r="B942" s="53"/>
      <c r="D942" s="53"/>
    </row>
    <row r="943">
      <c r="B943" s="53"/>
      <c r="D943" s="53"/>
    </row>
    <row r="944">
      <c r="B944" s="53"/>
      <c r="D944" s="53"/>
    </row>
    <row r="945">
      <c r="B945" s="53"/>
      <c r="D945" s="53"/>
    </row>
    <row r="946">
      <c r="B946" s="53"/>
      <c r="D946" s="53"/>
    </row>
    <row r="947">
      <c r="B947" s="53"/>
      <c r="D947" s="53"/>
    </row>
    <row r="948">
      <c r="B948" s="53"/>
      <c r="D948" s="53"/>
    </row>
    <row r="949">
      <c r="B949" s="53"/>
      <c r="D949" s="53"/>
    </row>
    <row r="950">
      <c r="B950" s="53"/>
      <c r="D950" s="53"/>
    </row>
    <row r="951">
      <c r="B951" s="53"/>
      <c r="D951" s="53"/>
    </row>
    <row r="952">
      <c r="B952" s="53"/>
      <c r="D952" s="53"/>
    </row>
    <row r="953">
      <c r="B953" s="53"/>
      <c r="D953" s="53"/>
    </row>
    <row r="954">
      <c r="B954" s="53"/>
      <c r="D954" s="53"/>
    </row>
    <row r="955">
      <c r="B955" s="53"/>
      <c r="D955" s="53"/>
    </row>
    <row r="956">
      <c r="B956" s="53"/>
      <c r="D956" s="53"/>
    </row>
    <row r="957">
      <c r="B957" s="53"/>
      <c r="D957" s="53"/>
    </row>
    <row r="958">
      <c r="B958" s="53"/>
      <c r="D958" s="53"/>
    </row>
    <row r="959">
      <c r="B959" s="53"/>
      <c r="D959" s="53"/>
    </row>
    <row r="960">
      <c r="B960" s="53"/>
      <c r="D960" s="53"/>
    </row>
    <row r="961">
      <c r="B961" s="53"/>
      <c r="D961" s="53"/>
    </row>
    <row r="962">
      <c r="B962" s="53"/>
      <c r="D962" s="53"/>
    </row>
    <row r="963">
      <c r="B963" s="53"/>
      <c r="D963" s="53"/>
    </row>
    <row r="964">
      <c r="B964" s="53"/>
      <c r="D964" s="53"/>
    </row>
    <row r="965">
      <c r="B965" s="53"/>
      <c r="D965" s="53"/>
    </row>
    <row r="966">
      <c r="B966" s="53"/>
      <c r="D966" s="53"/>
    </row>
    <row r="967">
      <c r="B967" s="53"/>
      <c r="D967" s="53"/>
    </row>
    <row r="968">
      <c r="B968" s="53"/>
      <c r="D968" s="53"/>
    </row>
    <row r="969">
      <c r="B969" s="53"/>
      <c r="D969" s="53"/>
    </row>
    <row r="970">
      <c r="B970" s="53"/>
      <c r="D970" s="53"/>
    </row>
    <row r="971">
      <c r="B971" s="53"/>
      <c r="D971" s="53"/>
    </row>
    <row r="972">
      <c r="B972" s="53"/>
      <c r="D972" s="53"/>
    </row>
    <row r="973">
      <c r="B973" s="53"/>
      <c r="D973" s="53"/>
    </row>
    <row r="974">
      <c r="B974" s="53"/>
      <c r="D974" s="53"/>
    </row>
    <row r="975">
      <c r="B975" s="53"/>
      <c r="D975" s="53"/>
    </row>
    <row r="976">
      <c r="B976" s="53"/>
      <c r="D976" s="53"/>
    </row>
    <row r="977">
      <c r="B977" s="53"/>
      <c r="D977" s="53"/>
    </row>
    <row r="978">
      <c r="B978" s="53"/>
      <c r="D978" s="53"/>
    </row>
    <row r="979">
      <c r="B979" s="53"/>
      <c r="D979" s="53"/>
    </row>
    <row r="980">
      <c r="B980" s="53"/>
      <c r="D980" s="53"/>
    </row>
    <row r="981">
      <c r="B981" s="53"/>
      <c r="D981" s="53"/>
    </row>
    <row r="982">
      <c r="B982" s="53"/>
      <c r="D982" s="53"/>
    </row>
    <row r="983">
      <c r="B983" s="53"/>
      <c r="D983" s="53"/>
    </row>
    <row r="984">
      <c r="B984" s="53"/>
      <c r="D984" s="53"/>
    </row>
    <row r="985">
      <c r="B985" s="53"/>
      <c r="D985" s="53"/>
    </row>
    <row r="986">
      <c r="B986" s="53"/>
      <c r="D986" s="53"/>
    </row>
    <row r="987">
      <c r="B987" s="53"/>
      <c r="D987" s="53"/>
    </row>
    <row r="988">
      <c r="B988" s="53"/>
      <c r="D988" s="53"/>
    </row>
    <row r="989">
      <c r="B989" s="53"/>
      <c r="D989" s="53"/>
    </row>
    <row r="990">
      <c r="B990" s="53"/>
      <c r="D990" s="53"/>
    </row>
    <row r="991">
      <c r="B991" s="53"/>
      <c r="D991" s="53"/>
    </row>
    <row r="992">
      <c r="B992" s="53"/>
      <c r="D992" s="53"/>
    </row>
    <row r="993">
      <c r="B993" s="53"/>
      <c r="D993" s="53"/>
    </row>
    <row r="994">
      <c r="B994" s="53"/>
      <c r="D994" s="53"/>
    </row>
    <row r="995">
      <c r="B995" s="53"/>
      <c r="D995" s="53"/>
    </row>
    <row r="996">
      <c r="B996" s="53"/>
      <c r="D996" s="53"/>
    </row>
    <row r="997">
      <c r="B997" s="53"/>
      <c r="D997" s="53"/>
    </row>
    <row r="998">
      <c r="B998" s="53"/>
      <c r="D998" s="53"/>
    </row>
    <row r="999">
      <c r="B999" s="53"/>
      <c r="D999" s="53"/>
    </row>
    <row r="1000">
      <c r="B1000" s="53"/>
      <c r="D1000" s="53"/>
    </row>
    <row r="1001">
      <c r="B1001" s="53"/>
      <c r="D1001" s="53"/>
    </row>
    <row r="1002">
      <c r="B1002" s="53"/>
      <c r="D1002" s="53"/>
    </row>
    <row r="1003">
      <c r="B1003" s="53"/>
      <c r="D1003" s="53"/>
    </row>
    <row r="1004">
      <c r="B1004" s="53"/>
      <c r="D1004" s="53"/>
    </row>
    <row r="1005">
      <c r="B1005" s="53"/>
      <c r="D1005" s="53"/>
    </row>
    <row r="1006">
      <c r="B1006" s="53"/>
      <c r="D1006" s="53"/>
    </row>
    <row r="1007">
      <c r="B1007" s="53"/>
      <c r="D1007" s="53"/>
    </row>
    <row r="1008">
      <c r="B1008" s="53"/>
      <c r="D1008" s="53"/>
    </row>
    <row r="1009">
      <c r="B1009" s="53"/>
      <c r="D1009" s="53"/>
    </row>
    <row r="1010">
      <c r="B1010" s="53"/>
      <c r="D1010" s="53"/>
    </row>
    <row r="1011">
      <c r="B1011" s="53"/>
      <c r="D1011" s="53"/>
    </row>
    <row r="1012">
      <c r="B1012" s="53"/>
      <c r="D1012" s="5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58.88"/>
    <col customWidth="1" min="3" max="3" width="24.25"/>
    <col customWidth="1" min="4" max="4" width="21.88"/>
    <col customWidth="1" min="5" max="5" width="29.25"/>
    <col customWidth="1" min="6" max="6" width="26.13"/>
  </cols>
  <sheetData>
    <row r="1">
      <c r="A1" s="97" t="s">
        <v>629</v>
      </c>
      <c r="B1" s="97" t="s">
        <v>580</v>
      </c>
      <c r="C1" s="97" t="s">
        <v>581</v>
      </c>
      <c r="D1" s="97" t="s">
        <v>582</v>
      </c>
      <c r="E1" s="97" t="s">
        <v>583</v>
      </c>
      <c r="F1" s="97" t="s">
        <v>630</v>
      </c>
    </row>
    <row r="2">
      <c r="A2" s="98" t="s">
        <v>631</v>
      </c>
    </row>
    <row r="3">
      <c r="A3" s="98"/>
      <c r="B3" s="98" t="s">
        <v>632</v>
      </c>
      <c r="C3" s="98" t="s">
        <v>633</v>
      </c>
      <c r="D3" s="98" t="s">
        <v>634</v>
      </c>
      <c r="E3" s="98" t="s">
        <v>635</v>
      </c>
      <c r="F3" s="99">
        <v>3.0</v>
      </c>
    </row>
    <row r="4">
      <c r="A4" s="100"/>
      <c r="B4" s="98" t="s">
        <v>636</v>
      </c>
      <c r="C4" s="98" t="s">
        <v>637</v>
      </c>
      <c r="D4" s="98" t="s">
        <v>638</v>
      </c>
      <c r="E4" s="98" t="s">
        <v>639</v>
      </c>
      <c r="F4" s="99">
        <v>1.0</v>
      </c>
    </row>
    <row r="5">
      <c r="A5" s="100"/>
      <c r="B5" s="98" t="s">
        <v>640</v>
      </c>
      <c r="C5" s="98" t="s">
        <v>641</v>
      </c>
      <c r="D5" s="98" t="s">
        <v>642</v>
      </c>
      <c r="E5" s="98" t="s">
        <v>643</v>
      </c>
      <c r="F5" s="99">
        <v>1.0</v>
      </c>
    </row>
    <row r="6">
      <c r="A6" s="98"/>
    </row>
    <row r="7">
      <c r="A7" s="98" t="s">
        <v>644</v>
      </c>
    </row>
    <row r="8">
      <c r="A8" s="98"/>
      <c r="B8" s="98" t="s">
        <v>645</v>
      </c>
      <c r="C8" s="98" t="s">
        <v>641</v>
      </c>
      <c r="D8" s="98" t="s">
        <v>646</v>
      </c>
      <c r="E8" s="98" t="s">
        <v>647</v>
      </c>
      <c r="F8" s="99">
        <v>3.0</v>
      </c>
    </row>
    <row r="9">
      <c r="A9" s="98"/>
    </row>
    <row r="10">
      <c r="A10" s="98" t="s">
        <v>648</v>
      </c>
    </row>
    <row r="11">
      <c r="A11" s="100"/>
      <c r="B11" s="98" t="s">
        <v>649</v>
      </c>
      <c r="C11" s="98" t="s">
        <v>650</v>
      </c>
      <c r="D11" s="98" t="s">
        <v>651</v>
      </c>
      <c r="E11" s="98" t="s">
        <v>652</v>
      </c>
      <c r="F11" s="99">
        <v>1.0</v>
      </c>
    </row>
    <row r="12">
      <c r="A12" s="100"/>
      <c r="B12" s="98" t="s">
        <v>653</v>
      </c>
      <c r="C12" s="98" t="s">
        <v>650</v>
      </c>
      <c r="D12" s="98" t="s">
        <v>654</v>
      </c>
      <c r="E12" s="98" t="s">
        <v>655</v>
      </c>
      <c r="F12" s="99">
        <v>1.0</v>
      </c>
    </row>
    <row r="13">
      <c r="A13" s="100"/>
      <c r="B13" s="98" t="s">
        <v>656</v>
      </c>
      <c r="C13" s="98" t="s">
        <v>657</v>
      </c>
      <c r="D13" s="98" t="s">
        <v>658</v>
      </c>
      <c r="E13" s="98" t="s">
        <v>659</v>
      </c>
      <c r="F13" s="99">
        <v>1.0</v>
      </c>
    </row>
    <row r="14">
      <c r="A14" s="98"/>
      <c r="B14" s="98"/>
      <c r="C14" s="98"/>
      <c r="D14" s="98"/>
      <c r="E14" s="98"/>
      <c r="F14" s="99"/>
    </row>
    <row r="15">
      <c r="A15" s="98" t="s">
        <v>660</v>
      </c>
      <c r="B15" s="98"/>
      <c r="C15" s="98"/>
      <c r="D15" s="98"/>
      <c r="E15" s="98"/>
      <c r="F15" s="99"/>
    </row>
    <row r="16">
      <c r="B16" s="98" t="s">
        <v>661</v>
      </c>
      <c r="C16" s="98" t="s">
        <v>650</v>
      </c>
      <c r="D16" s="98" t="s">
        <v>662</v>
      </c>
      <c r="E16" s="98" t="s">
        <v>663</v>
      </c>
      <c r="F16" s="99">
        <v>1.0</v>
      </c>
    </row>
    <row r="17">
      <c r="A17" s="100"/>
      <c r="B17" s="98" t="s">
        <v>664</v>
      </c>
      <c r="C17" s="98" t="s">
        <v>665</v>
      </c>
      <c r="D17" s="98" t="s">
        <v>666</v>
      </c>
      <c r="E17" s="98" t="s">
        <v>667</v>
      </c>
      <c r="F17" s="99">
        <v>5.0</v>
      </c>
    </row>
    <row r="18">
      <c r="A18" s="100"/>
      <c r="B18" s="98" t="s">
        <v>668</v>
      </c>
      <c r="C18" s="98" t="s">
        <v>665</v>
      </c>
      <c r="D18" s="98" t="s">
        <v>669</v>
      </c>
      <c r="E18" s="98" t="s">
        <v>670</v>
      </c>
      <c r="F18" s="99">
        <v>3.0</v>
      </c>
    </row>
    <row r="19">
      <c r="A19" s="100"/>
      <c r="B19" s="98" t="s">
        <v>671</v>
      </c>
      <c r="C19" s="98" t="s">
        <v>672</v>
      </c>
      <c r="D19" s="98" t="s">
        <v>673</v>
      </c>
      <c r="E19" s="98" t="s">
        <v>674</v>
      </c>
      <c r="F19" s="99">
        <v>1.0</v>
      </c>
    </row>
    <row r="20">
      <c r="A20" s="98"/>
      <c r="B20" s="98"/>
      <c r="C20" s="98"/>
      <c r="D20" s="98"/>
      <c r="E20" s="98"/>
      <c r="F20" s="99"/>
    </row>
    <row r="21">
      <c r="A21" s="98" t="s">
        <v>675</v>
      </c>
      <c r="B21" s="98"/>
      <c r="C21" s="98"/>
      <c r="D21" s="98"/>
      <c r="E21" s="98"/>
      <c r="F21" s="99"/>
    </row>
    <row r="22">
      <c r="B22" s="98" t="s">
        <v>676</v>
      </c>
      <c r="C22" s="98" t="s">
        <v>677</v>
      </c>
      <c r="D22" s="98" t="s">
        <v>678</v>
      </c>
      <c r="E22" s="98" t="s">
        <v>679</v>
      </c>
      <c r="F22" s="99">
        <v>3.0</v>
      </c>
    </row>
    <row r="23">
      <c r="A23" s="100"/>
      <c r="B23" s="98" t="s">
        <v>680</v>
      </c>
      <c r="C23" s="98" t="s">
        <v>650</v>
      </c>
      <c r="D23" s="98" t="s">
        <v>681</v>
      </c>
      <c r="E23" s="98" t="s">
        <v>682</v>
      </c>
      <c r="F23" s="99">
        <v>2.0</v>
      </c>
    </row>
    <row r="24">
      <c r="A24" s="97" t="s">
        <v>628</v>
      </c>
      <c r="B24" s="101"/>
      <c r="C24" s="101"/>
      <c r="D24" s="101"/>
      <c r="E24" s="101"/>
      <c r="F24" s="97">
        <f>SUM(F2:F23)/70*100</f>
        <v>37.14285714</v>
      </c>
    </row>
    <row r="30">
      <c r="A30" s="49" t="s">
        <v>683</v>
      </c>
    </row>
    <row r="31">
      <c r="A31" s="102" t="s">
        <v>684</v>
      </c>
    </row>
    <row r="32">
      <c r="A32" s="103"/>
    </row>
    <row r="33">
      <c r="A33" s="102" t="s">
        <v>685</v>
      </c>
    </row>
    <row r="34">
      <c r="A34" s="103"/>
    </row>
    <row r="35">
      <c r="A35" s="102" t="s">
        <v>686</v>
      </c>
    </row>
    <row r="36">
      <c r="A36" s="103"/>
    </row>
    <row r="37">
      <c r="A37" s="102" t="s">
        <v>687</v>
      </c>
    </row>
    <row r="38">
      <c r="A38" s="103"/>
    </row>
    <row r="39">
      <c r="A39" s="102" t="s">
        <v>688</v>
      </c>
    </row>
    <row r="40">
      <c r="A40" s="103"/>
    </row>
    <row r="41">
      <c r="A41" s="102" t="s">
        <v>689</v>
      </c>
    </row>
    <row r="42">
      <c r="A42" s="103"/>
    </row>
    <row r="43">
      <c r="A43" s="102" t="s">
        <v>690</v>
      </c>
    </row>
    <row r="44">
      <c r="A44" s="102" t="s">
        <v>691</v>
      </c>
    </row>
    <row r="45">
      <c r="A45" s="102" t="s">
        <v>692</v>
      </c>
    </row>
    <row r="46">
      <c r="A46" s="102" t="s">
        <v>693</v>
      </c>
    </row>
    <row r="47">
      <c r="A47" s="102" t="s">
        <v>694</v>
      </c>
    </row>
    <row r="48">
      <c r="A48" s="102" t="s">
        <v>695</v>
      </c>
    </row>
    <row r="49">
      <c r="A49" s="104" t="s">
        <v>696</v>
      </c>
    </row>
    <row r="50">
      <c r="A50" s="104" t="s">
        <v>697</v>
      </c>
    </row>
    <row r="51">
      <c r="A51" s="102" t="s">
        <v>698</v>
      </c>
    </row>
    <row r="52">
      <c r="A52" s="103"/>
    </row>
    <row r="53">
      <c r="A53" s="102" t="s">
        <v>699</v>
      </c>
    </row>
    <row r="54">
      <c r="A54" s="103"/>
    </row>
    <row r="55">
      <c r="A55" s="102" t="s">
        <v>700</v>
      </c>
    </row>
    <row r="56">
      <c r="A56" s="102" t="s">
        <v>701</v>
      </c>
    </row>
    <row r="57">
      <c r="A57" s="102" t="s">
        <v>702</v>
      </c>
    </row>
    <row r="58">
      <c r="A58" s="102" t="s">
        <v>703</v>
      </c>
    </row>
    <row r="59">
      <c r="A59" s="102" t="s">
        <v>704</v>
      </c>
    </row>
    <row r="60">
      <c r="A60" s="102" t="s">
        <v>705</v>
      </c>
    </row>
    <row r="61">
      <c r="A61" s="105" t="s">
        <v>706</v>
      </c>
    </row>
    <row r="62">
      <c r="A62" s="102" t="s">
        <v>707</v>
      </c>
    </row>
    <row r="63">
      <c r="A63" s="103"/>
    </row>
    <row r="64">
      <c r="A64" s="102" t="s">
        <v>708</v>
      </c>
    </row>
    <row r="65">
      <c r="A65" s="103"/>
    </row>
    <row r="66">
      <c r="A66" s="102" t="s">
        <v>709</v>
      </c>
    </row>
    <row r="67">
      <c r="A67" s="102" t="s">
        <v>710</v>
      </c>
    </row>
    <row r="68">
      <c r="A68" s="102" t="s">
        <v>711</v>
      </c>
    </row>
    <row r="69">
      <c r="A69" s="102" t="s">
        <v>656</v>
      </c>
    </row>
    <row r="70">
      <c r="A70" s="102" t="s">
        <v>712</v>
      </c>
    </row>
    <row r="71">
      <c r="A71" s="102" t="s">
        <v>713</v>
      </c>
    </row>
    <row r="72">
      <c r="A72" s="102" t="s">
        <v>714</v>
      </c>
    </row>
    <row r="73">
      <c r="A73" s="102" t="s">
        <v>715</v>
      </c>
    </row>
    <row r="74">
      <c r="A74" s="102" t="s">
        <v>716</v>
      </c>
    </row>
    <row r="75">
      <c r="A75" s="103"/>
    </row>
    <row r="76">
      <c r="A76" s="102" t="s">
        <v>717</v>
      </c>
    </row>
    <row r="77">
      <c r="A77" s="103"/>
    </row>
    <row r="78">
      <c r="A78" s="102" t="s">
        <v>718</v>
      </c>
    </row>
    <row r="79">
      <c r="A79" s="102" t="s">
        <v>719</v>
      </c>
    </row>
    <row r="80">
      <c r="A80" s="102" t="s">
        <v>720</v>
      </c>
    </row>
    <row r="81">
      <c r="A81" s="102" t="s">
        <v>721</v>
      </c>
    </row>
    <row r="82">
      <c r="A82" s="102" t="s">
        <v>722</v>
      </c>
    </row>
    <row r="83">
      <c r="A83" s="102" t="s">
        <v>723</v>
      </c>
    </row>
    <row r="84">
      <c r="A84" s="102" t="s">
        <v>724</v>
      </c>
    </row>
    <row r="85">
      <c r="A85" s="102" t="s">
        <v>725</v>
      </c>
    </row>
    <row r="86">
      <c r="A86" s="102" t="s">
        <v>726</v>
      </c>
    </row>
    <row r="87">
      <c r="A87" s="103"/>
    </row>
    <row r="88">
      <c r="A88" s="102" t="s">
        <v>727</v>
      </c>
    </row>
    <row r="89">
      <c r="A89" s="103"/>
    </row>
    <row r="90">
      <c r="A90" s="102" t="s">
        <v>728</v>
      </c>
    </row>
    <row r="91">
      <c r="A91" s="103"/>
    </row>
    <row r="92">
      <c r="A92" s="102" t="s">
        <v>729</v>
      </c>
    </row>
    <row r="93">
      <c r="A93" s="103"/>
    </row>
    <row r="94">
      <c r="A94" s="102" t="s">
        <v>730</v>
      </c>
    </row>
    <row r="95">
      <c r="A95" s="102" t="s">
        <v>731</v>
      </c>
    </row>
    <row r="96">
      <c r="A96" s="102" t="s">
        <v>732</v>
      </c>
    </row>
    <row r="97">
      <c r="A97" s="102" t="s">
        <v>733</v>
      </c>
    </row>
    <row r="98">
      <c r="A98" s="102" t="s">
        <v>734</v>
      </c>
    </row>
    <row r="99">
      <c r="A99" s="102" t="s">
        <v>735</v>
      </c>
    </row>
    <row r="100">
      <c r="A100" s="102" t="s">
        <v>736</v>
      </c>
    </row>
    <row r="101">
      <c r="A101" s="102" t="s">
        <v>737</v>
      </c>
    </row>
    <row r="102">
      <c r="A102" s="103"/>
    </row>
    <row r="103">
      <c r="A103" s="102" t="s">
        <v>738</v>
      </c>
    </row>
    <row r="104">
      <c r="A104" s="103"/>
    </row>
    <row r="105">
      <c r="A105" s="102" t="s">
        <v>739</v>
      </c>
    </row>
    <row r="106">
      <c r="A106" s="102" t="s">
        <v>740</v>
      </c>
    </row>
    <row r="107">
      <c r="A107" s="102" t="s">
        <v>676</v>
      </c>
    </row>
    <row r="108">
      <c r="A108" s="102" t="s">
        <v>741</v>
      </c>
    </row>
    <row r="109">
      <c r="A109" s="102" t="s">
        <v>742</v>
      </c>
    </row>
    <row r="110">
      <c r="A110" s="102" t="s">
        <v>743</v>
      </c>
    </row>
    <row r="111">
      <c r="A111" s="102" t="s">
        <v>744</v>
      </c>
    </row>
    <row r="112">
      <c r="A112" s="102" t="s">
        <v>745</v>
      </c>
    </row>
    <row r="113">
      <c r="A113" s="103"/>
    </row>
    <row r="114">
      <c r="A114" s="102" t="s">
        <v>746</v>
      </c>
    </row>
    <row r="115">
      <c r="A115" s="103"/>
    </row>
    <row r="116">
      <c r="A116" s="102" t="s">
        <v>747</v>
      </c>
    </row>
    <row r="117">
      <c r="A117" s="102" t="s">
        <v>748</v>
      </c>
    </row>
    <row r="118">
      <c r="A118" s="102" t="s">
        <v>749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75"/>
    <col customWidth="1" min="3" max="3" width="35.75"/>
  </cols>
  <sheetData>
    <row r="2">
      <c r="A2" s="106" t="s">
        <v>750</v>
      </c>
      <c r="B2" s="106" t="s">
        <v>751</v>
      </c>
      <c r="C2" s="106" t="s">
        <v>752</v>
      </c>
    </row>
    <row r="3">
      <c r="A3" s="49" t="s">
        <v>753</v>
      </c>
      <c r="B3" s="49" t="s">
        <v>754</v>
      </c>
      <c r="C3" s="49" t="s">
        <v>755</v>
      </c>
    </row>
    <row r="4">
      <c r="A4" s="49" t="s">
        <v>756</v>
      </c>
      <c r="B4" s="49" t="s">
        <v>757</v>
      </c>
      <c r="C4" s="49" t="s">
        <v>758</v>
      </c>
    </row>
    <row r="5">
      <c r="A5" s="49" t="s">
        <v>759</v>
      </c>
      <c r="B5" s="49" t="s">
        <v>760</v>
      </c>
      <c r="C5" s="49" t="s">
        <v>761</v>
      </c>
    </row>
    <row r="6">
      <c r="A6" s="49" t="s">
        <v>762</v>
      </c>
      <c r="B6" s="49" t="s">
        <v>763</v>
      </c>
      <c r="C6" s="49" t="s">
        <v>764</v>
      </c>
    </row>
    <row r="7">
      <c r="A7" s="49" t="s">
        <v>765</v>
      </c>
      <c r="B7" s="49" t="s">
        <v>766</v>
      </c>
      <c r="C7" s="49" t="s">
        <v>767</v>
      </c>
    </row>
    <row r="8">
      <c r="A8" s="49" t="s">
        <v>768</v>
      </c>
      <c r="B8" s="49" t="s">
        <v>769</v>
      </c>
      <c r="C8" s="49" t="s">
        <v>770</v>
      </c>
    </row>
    <row r="11">
      <c r="A11" s="49" t="s">
        <v>771</v>
      </c>
    </row>
    <row r="12">
      <c r="B12" s="49" t="s">
        <v>772</v>
      </c>
    </row>
    <row r="13">
      <c r="B13" s="49" t="s">
        <v>773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9.25"/>
  </cols>
  <sheetData>
    <row r="1">
      <c r="A1" s="49" t="s">
        <v>774</v>
      </c>
      <c r="B1" s="107">
        <v>0.0</v>
      </c>
      <c r="C1" s="107">
        <v>0.2</v>
      </c>
      <c r="D1" s="107">
        <v>0.4</v>
      </c>
      <c r="E1" s="107">
        <v>0.6</v>
      </c>
      <c r="F1" s="107">
        <v>0.8</v>
      </c>
      <c r="G1" s="107">
        <v>1.0</v>
      </c>
    </row>
    <row r="2">
      <c r="A2" s="49" t="s">
        <v>775</v>
      </c>
    </row>
    <row r="3">
      <c r="A3" s="49" t="s">
        <v>776</v>
      </c>
    </row>
    <row r="4">
      <c r="A4" s="49" t="s">
        <v>777</v>
      </c>
    </row>
    <row r="5">
      <c r="A5" s="49" t="s">
        <v>778</v>
      </c>
    </row>
    <row r="6">
      <c r="A6" s="49" t="s">
        <v>779</v>
      </c>
    </row>
    <row r="7">
      <c r="A7" s="49" t="s">
        <v>780</v>
      </c>
    </row>
    <row r="8">
      <c r="A8" s="49" t="s">
        <v>781</v>
      </c>
    </row>
    <row r="9">
      <c r="A9" s="49" t="s">
        <v>782</v>
      </c>
    </row>
    <row r="10">
      <c r="A10" s="49" t="s">
        <v>783</v>
      </c>
    </row>
    <row r="11">
      <c r="A11" s="49" t="s">
        <v>784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3" max="3" width="30.88"/>
    <col customWidth="1" min="9" max="9" width="12.63"/>
    <col customWidth="1" min="10" max="10" width="14.63"/>
    <col customWidth="1" min="11" max="11" width="16.88"/>
    <col customWidth="1" min="12" max="12" width="16.5"/>
    <col customWidth="1" min="13" max="13" width="13.75"/>
  </cols>
  <sheetData>
    <row r="1">
      <c r="A1" s="20" t="s">
        <v>72</v>
      </c>
      <c r="B1" s="20" t="s">
        <v>73</v>
      </c>
      <c r="C1" s="108" t="s">
        <v>74</v>
      </c>
      <c r="D1" s="108" t="s">
        <v>75</v>
      </c>
      <c r="E1" s="108" t="s">
        <v>76</v>
      </c>
      <c r="F1" s="108" t="s">
        <v>77</v>
      </c>
      <c r="G1" s="108" t="s">
        <v>78</v>
      </c>
      <c r="H1" s="108" t="s">
        <v>79</v>
      </c>
      <c r="I1" s="109" t="s">
        <v>80</v>
      </c>
      <c r="J1" s="109" t="s">
        <v>81</v>
      </c>
      <c r="K1" s="109" t="s">
        <v>82</v>
      </c>
      <c r="L1" s="109" t="s">
        <v>83</v>
      </c>
      <c r="M1" s="109" t="s">
        <v>84</v>
      </c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hidden="1">
      <c r="A2" s="24" t="s">
        <v>85</v>
      </c>
      <c r="B2" s="25">
        <v>2.020000101E9</v>
      </c>
      <c r="C2" s="32" t="s">
        <v>785</v>
      </c>
      <c r="D2" s="27" t="s">
        <v>87</v>
      </c>
      <c r="E2" s="28" t="s">
        <v>786</v>
      </c>
      <c r="F2" s="28" t="s">
        <v>106</v>
      </c>
      <c r="G2" s="29" t="s">
        <v>787</v>
      </c>
      <c r="H2" s="29" t="s">
        <v>788</v>
      </c>
      <c r="I2" s="30">
        <v>100.0</v>
      </c>
      <c r="J2" s="31"/>
      <c r="K2" s="31"/>
      <c r="L2" s="110"/>
      <c r="M2" s="110"/>
    </row>
    <row r="3" hidden="1">
      <c r="A3" s="24" t="s">
        <v>85</v>
      </c>
      <c r="B3" s="25">
        <v>2.020000301E9</v>
      </c>
      <c r="C3" s="32" t="s">
        <v>789</v>
      </c>
      <c r="D3" s="27" t="s">
        <v>87</v>
      </c>
      <c r="E3" s="28" t="str">
        <f>IFERROR(__xludf.DUMMYFUNCTION("if(C3="""","""",QUERY(IMPORTRANGE(""https://docs.google.com/spreadsheets/d/1p-K1WwMNj5CZWWc1q5R9bOG5J5Yp9PG2gq2vtqhFprU/edit#gid=2112048218"", ""投資人版(2023.12.31)!A2:H""), ""SELECT Col7, Col5 WHERE Col8 CONTAINS '""&amp;$C3&amp;""'"", 0)
)"),"台北")</f>
        <v>台北</v>
      </c>
      <c r="F3" s="28" t="str">
        <f>IFERROR(__xludf.DUMMYFUNCTION("""COMPUTED_VALUE"""),"A. 共生公寓")</f>
        <v>A. 共生公寓</v>
      </c>
      <c r="G3" s="29" t="s">
        <v>107</v>
      </c>
      <c r="H3" s="29" t="s">
        <v>788</v>
      </c>
      <c r="I3" s="30">
        <v>100.0</v>
      </c>
      <c r="J3" s="30"/>
      <c r="K3" s="30"/>
      <c r="L3" s="30"/>
      <c r="M3" s="30"/>
    </row>
    <row r="4">
      <c r="A4" s="24" t="s">
        <v>85</v>
      </c>
      <c r="B4" s="25">
        <v>2.020000501E9</v>
      </c>
      <c r="C4" s="26" t="s">
        <v>86</v>
      </c>
      <c r="D4" s="27" t="s">
        <v>87</v>
      </c>
      <c r="E4" s="28" t="str">
        <f>IFERROR(__xludf.DUMMYFUNCTION("if(C4="""","""",QUERY(IMPORTRANGE(""https://docs.google.com/spreadsheets/d/1p-K1WwMNj5CZWWc1q5R9bOG5J5Yp9PG2gq2vtqhFprU/edit#gid=2112048218"", ""投資人版(2023.12.31)!A2:H""), ""SELECT Col7, Col5 WHERE Col8 CONTAINS '""&amp;$C4&amp;""'"", 0)
)"),"台北")</f>
        <v>台北</v>
      </c>
      <c r="F4" s="27" t="str">
        <f>IFERROR(__xludf.DUMMYFUNCTION("""COMPUTED_VALUE"""),"A. 共生公寓")</f>
        <v>A. 共生公寓</v>
      </c>
      <c r="G4" s="29" t="s">
        <v>88</v>
      </c>
      <c r="H4" s="29" t="s">
        <v>89</v>
      </c>
      <c r="I4" s="30">
        <v>300.0</v>
      </c>
      <c r="J4" s="31">
        <v>50.0</v>
      </c>
      <c r="K4" s="31">
        <v>60.0</v>
      </c>
      <c r="L4" s="31">
        <v>3.0</v>
      </c>
      <c r="M4" s="31">
        <v>70.0</v>
      </c>
    </row>
    <row r="5" hidden="1">
      <c r="A5" s="24" t="s">
        <v>85</v>
      </c>
      <c r="B5" s="25">
        <v>2.020000403E9</v>
      </c>
      <c r="C5" s="26" t="s">
        <v>790</v>
      </c>
      <c r="D5" s="27" t="s">
        <v>87</v>
      </c>
      <c r="E5" s="28" t="s">
        <v>102</v>
      </c>
      <c r="F5" s="27" t="s">
        <v>106</v>
      </c>
      <c r="G5" s="29" t="s">
        <v>100</v>
      </c>
      <c r="H5" s="29" t="s">
        <v>788</v>
      </c>
      <c r="I5" s="30">
        <v>300.0</v>
      </c>
      <c r="J5" s="30"/>
      <c r="K5" s="30"/>
      <c r="L5" s="30"/>
      <c r="M5" s="30"/>
    </row>
    <row r="6">
      <c r="A6" s="24" t="s">
        <v>85</v>
      </c>
      <c r="B6" s="25">
        <v>2.020000601E9</v>
      </c>
      <c r="C6" s="32" t="s">
        <v>90</v>
      </c>
      <c r="D6" s="27" t="s">
        <v>87</v>
      </c>
      <c r="E6" s="28" t="str">
        <f>IFERROR(__xludf.DUMMYFUNCTION("if(C6="""","""",QUERY(IMPORTRANGE(""https://docs.google.com/spreadsheets/d/1p-K1WwMNj5CZWWc1q5R9bOG5J5Yp9PG2gq2vtqhFprU/edit#gid=2112048218"", ""投資人版(2023.12.31)!A2:H""), ""SELECT Col7, Col5 WHERE Col8 CONTAINS '""&amp;$C6&amp;""'"", 0)
)"),"桃園")</f>
        <v>桃園</v>
      </c>
      <c r="F6" s="28" t="str">
        <f>IFERROR(__xludf.DUMMYFUNCTION("""COMPUTED_VALUE"""),"B. 包租代管")</f>
        <v>B. 包租代管</v>
      </c>
      <c r="G6" s="29" t="s">
        <v>88</v>
      </c>
      <c r="H6" s="29" t="s">
        <v>89</v>
      </c>
      <c r="I6" s="31">
        <v>450.0</v>
      </c>
      <c r="J6" s="31">
        <v>63.0</v>
      </c>
      <c r="K6" s="31">
        <v>53.0</v>
      </c>
      <c r="L6" s="31">
        <v>8.0</v>
      </c>
      <c r="M6" s="31">
        <v>70.0</v>
      </c>
    </row>
    <row r="7" hidden="1">
      <c r="A7" s="24" t="s">
        <v>85</v>
      </c>
      <c r="B7" s="25">
        <v>2.020000201E9</v>
      </c>
      <c r="C7" s="32" t="s">
        <v>791</v>
      </c>
      <c r="D7" s="27" t="s">
        <v>87</v>
      </c>
      <c r="E7" s="28" t="str">
        <f>IFERROR(__xludf.DUMMYFUNCTION("if(C7="""","""",QUERY(IMPORTRANGE(""https://docs.google.com/spreadsheets/d/1p-K1WwMNj5CZWWc1q5R9bOG5J5Yp9PG2gq2vtqhFprU/edit#gid=2112048218"", ""投資人版(2023.12.31)!A2:H""), ""SELECT Col7, Col5 WHERE Col8 CONTAINS '""&amp;$C7&amp;""'"", 0)
)"),"台北")</f>
        <v>台北</v>
      </c>
      <c r="F7" s="28" t="str">
        <f>IFERROR(__xludf.DUMMYFUNCTION("""COMPUTED_VALUE"""),"B. 包租代管")</f>
        <v>B. 包租代管</v>
      </c>
      <c r="G7" s="29" t="s">
        <v>100</v>
      </c>
      <c r="H7" s="29" t="s">
        <v>788</v>
      </c>
      <c r="I7" s="30">
        <v>550.0</v>
      </c>
      <c r="J7" s="30"/>
      <c r="K7" s="30"/>
      <c r="L7" s="30"/>
      <c r="M7" s="30"/>
    </row>
    <row r="8">
      <c r="A8" s="24" t="s">
        <v>91</v>
      </c>
      <c r="B8" s="25">
        <v>2.021000901E9</v>
      </c>
      <c r="C8" s="32" t="s">
        <v>92</v>
      </c>
      <c r="D8" s="27" t="s">
        <v>87</v>
      </c>
      <c r="E8" s="28" t="str">
        <f>IFERROR(__xludf.DUMMYFUNCTION("if(C8="""","""",QUERY(IMPORTRANGE(""https://docs.google.com/spreadsheets/d/1p-K1WwMNj5CZWWc1q5R9bOG5J5Yp9PG2gq2vtqhFprU/edit#gid=2112048218"", ""投資人版(2023.12.31)!A2:H""), ""SELECT Col7, Col5 WHERE Col8 CONTAINS '""&amp;$C8&amp;""'"", 0)
)"),"桃園")</f>
        <v>桃園</v>
      </c>
      <c r="F8" s="28" t="str">
        <f>IFERROR(__xludf.DUMMYFUNCTION("""COMPUTED_VALUE"""),"B. 包租代管")</f>
        <v>B. 包租代管</v>
      </c>
      <c r="G8" s="29" t="s">
        <v>88</v>
      </c>
      <c r="H8" s="29" t="s">
        <v>89</v>
      </c>
      <c r="I8" s="30">
        <v>200.0</v>
      </c>
      <c r="J8" s="31">
        <v>55.0</v>
      </c>
      <c r="K8" s="31">
        <v>53.0</v>
      </c>
      <c r="L8" s="31">
        <v>6.0</v>
      </c>
      <c r="M8" s="31">
        <v>80.0</v>
      </c>
    </row>
    <row r="9" hidden="1">
      <c r="A9" s="24" t="s">
        <v>91</v>
      </c>
      <c r="B9" s="25">
        <v>2.021000701E9</v>
      </c>
      <c r="C9" s="32" t="s">
        <v>792</v>
      </c>
      <c r="D9" s="27" t="s">
        <v>87</v>
      </c>
      <c r="E9" s="28" t="str">
        <f>IFERROR(__xludf.DUMMYFUNCTION("if(C9="""","""",QUERY(IMPORTRANGE(""https://docs.google.com/spreadsheets/d/1p-K1WwMNj5CZWWc1q5R9bOG5J5Yp9PG2gq2vtqhFprU/edit#gid=2112048218"", ""投資人版(2023.12.31)!A2:H""), ""SELECT Col7, Col5 WHERE Col8 CONTAINS '""&amp;$C9&amp;""'"", 0)
)"),"台北")</f>
        <v>台北</v>
      </c>
      <c r="F9" s="28" t="str">
        <f>IFERROR(__xludf.DUMMYFUNCTION("""COMPUTED_VALUE"""),"A. 共生公寓")</f>
        <v>A. 共生公寓</v>
      </c>
      <c r="G9" s="29" t="s">
        <v>88</v>
      </c>
      <c r="H9" s="29" t="s">
        <v>788</v>
      </c>
      <c r="I9" s="30">
        <v>150.0</v>
      </c>
      <c r="J9" s="30"/>
      <c r="K9" s="30"/>
      <c r="L9" s="30"/>
      <c r="M9" s="30"/>
    </row>
    <row r="10" hidden="1">
      <c r="A10" s="24" t="s">
        <v>91</v>
      </c>
      <c r="B10" s="25">
        <v>2.021000801E9</v>
      </c>
      <c r="C10" s="32" t="s">
        <v>793</v>
      </c>
      <c r="D10" s="27" t="s">
        <v>87</v>
      </c>
      <c r="E10" s="28" t="s">
        <v>105</v>
      </c>
      <c r="F10" s="28" t="s">
        <v>106</v>
      </c>
      <c r="G10" s="29" t="s">
        <v>787</v>
      </c>
      <c r="H10" s="29" t="s">
        <v>788</v>
      </c>
      <c r="I10" s="30">
        <v>50.0</v>
      </c>
      <c r="J10" s="30"/>
      <c r="K10" s="30"/>
      <c r="L10" s="30"/>
      <c r="M10" s="30"/>
    </row>
    <row r="11" hidden="1">
      <c r="A11" s="24" t="s">
        <v>93</v>
      </c>
      <c r="B11" s="25">
        <v>2.022001101E9</v>
      </c>
      <c r="C11" s="35" t="s">
        <v>794</v>
      </c>
      <c r="D11" s="27" t="s">
        <v>87</v>
      </c>
      <c r="E11" s="28" t="s">
        <v>102</v>
      </c>
      <c r="F11" s="28" t="s">
        <v>114</v>
      </c>
      <c r="G11" s="29" t="s">
        <v>95</v>
      </c>
      <c r="H11" s="29" t="s">
        <v>788</v>
      </c>
      <c r="I11" s="30">
        <v>10.0</v>
      </c>
      <c r="J11" s="30"/>
      <c r="K11" s="30"/>
      <c r="L11" s="30"/>
      <c r="M11" s="30"/>
    </row>
    <row r="12" hidden="1">
      <c r="A12" s="24" t="s">
        <v>93</v>
      </c>
      <c r="B12" s="25">
        <v>2.022001903E9</v>
      </c>
      <c r="C12" s="35" t="s">
        <v>795</v>
      </c>
      <c r="D12" s="27" t="s">
        <v>87</v>
      </c>
      <c r="E12" s="28" t="str">
        <f>IFERROR(__xludf.DUMMYFUNCTION("if(C12="""","""",QUERY(IMPORTRANGE(""https://docs.google.com/spreadsheets/d/1p-K1WwMNj5CZWWc1q5R9bOG5J5Yp9PG2gq2vtqhFprU/edit#gid=2112048218"", ""投資人版(2023.12.31)!A2:H""), ""SELECT Col7, Col5 WHERE Col8 CONTAINS '""&amp;$C12&amp;""'"", 0)
)"),"台中")</f>
        <v>台中</v>
      </c>
      <c r="F12" s="28" t="str">
        <f>IFERROR(__xludf.DUMMYFUNCTION("""COMPUTED_VALUE"""),"B. 包租代管")</f>
        <v>B. 包租代管</v>
      </c>
      <c r="G12" s="29" t="s">
        <v>88</v>
      </c>
      <c r="H12" s="29" t="s">
        <v>796</v>
      </c>
      <c r="I12" s="30">
        <v>50.0</v>
      </c>
      <c r="J12" s="30"/>
      <c r="K12" s="30"/>
      <c r="L12" s="30"/>
      <c r="M12" s="30"/>
    </row>
    <row r="13" hidden="1">
      <c r="A13" s="24" t="s">
        <v>93</v>
      </c>
      <c r="B13" s="25">
        <v>2.022002401E9</v>
      </c>
      <c r="C13" s="32" t="s">
        <v>797</v>
      </c>
      <c r="D13" s="27" t="s">
        <v>87</v>
      </c>
      <c r="E13" s="28" t="str">
        <f>IFERROR(__xludf.DUMMYFUNCTION("if(C13="""","""",QUERY(IMPORTRANGE(""https://docs.google.com/spreadsheets/d/1p-K1WwMNj5CZWWc1q5R9bOG5J5Yp9PG2gq2vtqhFprU/edit#gid=2112048218"", ""投資人版(2023.12.31)!A2:H""), ""SELECT Col7, Col5 WHERE Col8 CONTAINS '""&amp;$C13&amp;""'"", 0)
)"),"新北")</f>
        <v>新北</v>
      </c>
      <c r="F13" s="28" t="str">
        <f>IFERROR(__xludf.DUMMYFUNCTION("""COMPUTED_VALUE"""),"G. 政府單位")</f>
        <v>G. 政府單位</v>
      </c>
      <c r="G13" s="29" t="s">
        <v>141</v>
      </c>
      <c r="H13" s="111" t="s">
        <v>798</v>
      </c>
      <c r="I13" s="30">
        <v>300.0</v>
      </c>
      <c r="J13" s="30"/>
      <c r="K13" s="30"/>
      <c r="L13" s="30"/>
      <c r="M13" s="30"/>
    </row>
    <row r="14">
      <c r="A14" s="24" t="s">
        <v>93</v>
      </c>
      <c r="B14" s="25">
        <v>2.022002003E9</v>
      </c>
      <c r="C14" s="32" t="s">
        <v>94</v>
      </c>
      <c r="D14" s="27" t="s">
        <v>87</v>
      </c>
      <c r="E14" s="28" t="str">
        <f>IFERROR(__xludf.DUMMYFUNCTION("if(C14="""","""",QUERY(IMPORTRANGE(""https://docs.google.com/spreadsheets/d/1p-K1WwMNj5CZWWc1q5R9bOG5J5Yp9PG2gq2vtqhFprU/edit#gid=2112048218"", ""投資人版(2023.12.31)!A2:H""), ""SELECT Col7, Col5 WHERE Col8 CONTAINS '""&amp;$C14&amp;""'"", 0)
)"),"台中")</f>
        <v>台中</v>
      </c>
      <c r="F14" s="28" t="str">
        <f>IFERROR(__xludf.DUMMYFUNCTION("""COMPUTED_VALUE"""),"B. 包租代管")</f>
        <v>B. 包租代管</v>
      </c>
      <c r="G14" s="29" t="s">
        <v>95</v>
      </c>
      <c r="H14" s="29" t="s">
        <v>89</v>
      </c>
      <c r="I14" s="30">
        <v>50.0</v>
      </c>
      <c r="J14" s="31">
        <v>33.0</v>
      </c>
      <c r="K14" s="31">
        <v>36.0</v>
      </c>
      <c r="L14" s="31">
        <v>9.0</v>
      </c>
      <c r="M14" s="31">
        <v>40.0</v>
      </c>
    </row>
    <row r="15" hidden="1">
      <c r="A15" s="24" t="s">
        <v>93</v>
      </c>
      <c r="B15" s="25">
        <v>2.022001603E9</v>
      </c>
      <c r="C15" s="32" t="s">
        <v>799</v>
      </c>
      <c r="D15" s="27" t="s">
        <v>87</v>
      </c>
      <c r="E15" s="28" t="str">
        <f>IFERROR(__xludf.DUMMYFUNCTION("if(C15="""","""",QUERY(IMPORTRANGE(""https://docs.google.com/spreadsheets/d/1p-K1WwMNj5CZWWc1q5R9bOG5J5Yp9PG2gq2vtqhFprU/edit#gid=2112048218"", ""投資人版(2023.12.31)!A2:H""), ""SELECT Col7, Col5 WHERE Col8 CONTAINS '""&amp;$C15&amp;""'"", 0)
)"),"苗栗")</f>
        <v>苗栗</v>
      </c>
      <c r="F15" s="28" t="str">
        <f>IFERROR(__xludf.DUMMYFUNCTION("""COMPUTED_VALUE"""),"B. 包租代管")</f>
        <v>B. 包租代管</v>
      </c>
      <c r="G15" s="29" t="s">
        <v>88</v>
      </c>
      <c r="H15" s="29" t="s">
        <v>788</v>
      </c>
      <c r="I15" s="30">
        <v>200.0</v>
      </c>
      <c r="J15" s="30"/>
      <c r="K15" s="30"/>
      <c r="L15" s="30"/>
      <c r="M15" s="30"/>
    </row>
    <row r="16" hidden="1">
      <c r="A16" s="24" t="s">
        <v>93</v>
      </c>
      <c r="B16" s="25">
        <v>2.022001703E9</v>
      </c>
      <c r="C16" s="32" t="s">
        <v>800</v>
      </c>
      <c r="D16" s="27" t="s">
        <v>87</v>
      </c>
      <c r="E16" s="28" t="str">
        <f>IFERROR(__xludf.DUMMYFUNCTION("if(C16="""","""",QUERY(IMPORTRANGE(""https://docs.google.com/spreadsheets/d/1p-K1WwMNj5CZWWc1q5R9bOG5J5Yp9PG2gq2vtqhFprU/edit#gid=2112048218"", ""投資人版(2023.12.31)!A2:H""), ""SELECT Col7, Col5 WHERE Col8 CONTAINS '""&amp;$C16&amp;""'"", 0)
)"),"台中")</f>
        <v>台中</v>
      </c>
      <c r="F16" s="28" t="str">
        <f>IFERROR(__xludf.DUMMYFUNCTION("""COMPUTED_VALUE"""),"B. 包租代管")</f>
        <v>B. 包租代管</v>
      </c>
      <c r="G16" s="29" t="s">
        <v>115</v>
      </c>
      <c r="H16" s="29" t="s">
        <v>788</v>
      </c>
      <c r="I16" s="30">
        <v>400.0</v>
      </c>
      <c r="J16" s="30"/>
      <c r="K16" s="30"/>
      <c r="L16" s="30"/>
      <c r="M16" s="30"/>
    </row>
    <row r="17">
      <c r="A17" s="24" t="s">
        <v>93</v>
      </c>
      <c r="B17" s="25">
        <v>2.022002101E9</v>
      </c>
      <c r="C17" s="32" t="s">
        <v>96</v>
      </c>
      <c r="D17" s="27" t="s">
        <v>87</v>
      </c>
      <c r="E17" s="28" t="str">
        <f>IFERROR(__xludf.DUMMYFUNCTION("if(C17="""","""",QUERY(IMPORTRANGE(""https://docs.google.com/spreadsheets/d/1p-K1WwMNj5CZWWc1q5R9bOG5J5Yp9PG2gq2vtqhFprU/edit#gid=2112048218"", ""投資人版(2023.12.31)!A2:H""), ""SELECT Col7, Col5 WHERE Col8 CONTAINS '""&amp;$C17&amp;""'"", 0)
)"),"桃園")</f>
        <v>桃園</v>
      </c>
      <c r="F17" s="28" t="str">
        <f>IFERROR(__xludf.DUMMYFUNCTION("""COMPUTED_VALUE"""),"I. 資產公司")</f>
        <v>I. 資產公司</v>
      </c>
      <c r="G17" s="29" t="s">
        <v>88</v>
      </c>
      <c r="H17" s="29" t="s">
        <v>89</v>
      </c>
      <c r="I17" s="30">
        <v>200.0</v>
      </c>
      <c r="J17" s="31">
        <v>58.0</v>
      </c>
      <c r="K17" s="31">
        <v>63.0</v>
      </c>
      <c r="L17" s="31">
        <v>6.0</v>
      </c>
      <c r="M17" s="31">
        <v>90.0</v>
      </c>
    </row>
    <row r="18" hidden="1">
      <c r="A18" s="24" t="s">
        <v>93</v>
      </c>
      <c r="B18" s="25">
        <v>2.022001805E9</v>
      </c>
      <c r="C18" s="32" t="s">
        <v>801</v>
      </c>
      <c r="D18" s="27" t="s">
        <v>87</v>
      </c>
      <c r="E18" s="28" t="str">
        <f>IFERROR(__xludf.DUMMYFUNCTION("if(C18="""","""",QUERY(IMPORTRANGE(""https://docs.google.com/spreadsheets/d/1p-K1WwMNj5CZWWc1q5R9bOG5J5Yp9PG2gq2vtqhFprU/edit#gid=2112048218"", ""投資人版(2023.12.31)!A2:H""), ""SELECT Col7, Col5 WHERE Col8 CONTAINS '""&amp;$C18&amp;""'"", 0)
)"),"屏東")</f>
        <v>屏東</v>
      </c>
      <c r="F18" s="28" t="str">
        <f>IFERROR(__xludf.DUMMYFUNCTION("""COMPUTED_VALUE"""),"B. 包租代管")</f>
        <v>B. 包租代管</v>
      </c>
      <c r="G18" s="29" t="s">
        <v>787</v>
      </c>
      <c r="H18" s="29" t="s">
        <v>788</v>
      </c>
      <c r="I18" s="30">
        <v>50.0</v>
      </c>
      <c r="J18" s="30"/>
      <c r="K18" s="30"/>
      <c r="L18" s="30"/>
      <c r="M18" s="30"/>
    </row>
    <row r="19" hidden="1">
      <c r="A19" s="24" t="s">
        <v>97</v>
      </c>
      <c r="B19" s="25">
        <v>2.023004901E9</v>
      </c>
      <c r="C19" s="35" t="s">
        <v>802</v>
      </c>
      <c r="D19" s="27" t="s">
        <v>87</v>
      </c>
      <c r="E19" s="28" t="s">
        <v>105</v>
      </c>
      <c r="F19" s="28" t="s">
        <v>103</v>
      </c>
      <c r="G19" s="28" t="s">
        <v>141</v>
      </c>
      <c r="H19" s="28" t="s">
        <v>788</v>
      </c>
      <c r="I19" s="29">
        <v>50.0</v>
      </c>
      <c r="J19" s="29"/>
      <c r="K19" s="29"/>
      <c r="L19" s="29"/>
      <c r="M19" s="29"/>
    </row>
    <row r="20" hidden="1">
      <c r="A20" s="24" t="s">
        <v>97</v>
      </c>
      <c r="B20" s="25">
        <v>2.023007504E9</v>
      </c>
      <c r="C20" s="32" t="s">
        <v>803</v>
      </c>
      <c r="D20" s="27" t="s">
        <v>87</v>
      </c>
      <c r="E20" s="28" t="s">
        <v>804</v>
      </c>
      <c r="F20" s="28" t="s">
        <v>103</v>
      </c>
      <c r="G20" s="29" t="s">
        <v>95</v>
      </c>
      <c r="H20" s="29" t="s">
        <v>798</v>
      </c>
      <c r="I20" s="30">
        <v>10.0</v>
      </c>
      <c r="J20" s="30"/>
      <c r="K20" s="30"/>
      <c r="L20" s="30"/>
      <c r="M20" s="30"/>
    </row>
    <row r="21" hidden="1">
      <c r="A21" s="24" t="s">
        <v>97</v>
      </c>
      <c r="B21" s="25">
        <v>2.023006205E9</v>
      </c>
      <c r="C21" s="32" t="s">
        <v>805</v>
      </c>
      <c r="D21" s="27" t="s">
        <v>87</v>
      </c>
      <c r="E21" s="28" t="str">
        <f>IFERROR(__xludf.DUMMYFUNCTION("if(C21="""","""",QUERY(IMPORTRANGE(""https://docs.google.com/spreadsheets/d/1p-K1WwMNj5CZWWc1q5R9bOG5J5Yp9PG2gq2vtqhFprU/edit#gid=2112048218"", ""投資人版(2023.12.31)!A2:H""), ""SELECT Col7, Col5 WHERE Col8 CONTAINS '""&amp;$C21&amp;""'"", 0)
)"),"嘉義")</f>
        <v>嘉義</v>
      </c>
      <c r="F21" s="28" t="str">
        <f>IFERROR(__xludf.DUMMYFUNCTION("""COMPUTED_VALUE"""),"B. 包租代管")</f>
        <v>B. 包租代管</v>
      </c>
      <c r="G21" s="29" t="s">
        <v>88</v>
      </c>
      <c r="H21" s="29" t="s">
        <v>796</v>
      </c>
      <c r="I21" s="30">
        <v>50.0</v>
      </c>
      <c r="J21" s="30"/>
      <c r="K21" s="30"/>
      <c r="L21" s="30"/>
      <c r="M21" s="30"/>
    </row>
    <row r="22" hidden="1">
      <c r="A22" s="24" t="s">
        <v>97</v>
      </c>
      <c r="B22" s="25">
        <v>2.023003301E9</v>
      </c>
      <c r="C22" s="32" t="s">
        <v>806</v>
      </c>
      <c r="D22" s="27" t="s">
        <v>87</v>
      </c>
      <c r="E22" s="28" t="s">
        <v>105</v>
      </c>
      <c r="F22" s="28" t="s">
        <v>807</v>
      </c>
      <c r="G22" s="29" t="s">
        <v>787</v>
      </c>
      <c r="H22" s="29" t="s">
        <v>788</v>
      </c>
      <c r="I22" s="30">
        <v>100.0</v>
      </c>
      <c r="J22" s="30"/>
      <c r="K22" s="30"/>
      <c r="L22" s="30"/>
      <c r="M22" s="30"/>
    </row>
    <row r="23" hidden="1">
      <c r="A23" s="24" t="s">
        <v>97</v>
      </c>
      <c r="B23" s="25">
        <v>2.023003401E9</v>
      </c>
      <c r="C23" s="35" t="s">
        <v>808</v>
      </c>
      <c r="D23" s="27" t="s">
        <v>87</v>
      </c>
      <c r="E23" s="28" t="str">
        <f>IFERROR(__xludf.DUMMYFUNCTION("if(C23="""","""",QUERY(IMPORTRANGE(""https://docs.google.com/spreadsheets/d/1p-K1WwMNj5CZWWc1q5R9bOG5J5Yp9PG2gq2vtqhFprU/edit#gid=2112048218"", ""投資人版(2023.12.31)!A2:H""), ""SELECT Col7, Col5 WHERE Col8 CONTAINS '""&amp;$C23&amp;""'"", 0)
)"),"新竹")</f>
        <v>新竹</v>
      </c>
      <c r="F23" s="28" t="str">
        <f>IFERROR(__xludf.DUMMYFUNCTION("""COMPUTED_VALUE"""),"E. 共享辦公室")</f>
        <v>E. 共享辦公室</v>
      </c>
      <c r="G23" s="29" t="s">
        <v>107</v>
      </c>
      <c r="H23" s="29" t="s">
        <v>788</v>
      </c>
      <c r="I23" s="30">
        <v>300.0</v>
      </c>
      <c r="J23" s="30"/>
      <c r="K23" s="30"/>
      <c r="L23" s="30"/>
      <c r="M23" s="30"/>
    </row>
    <row r="24">
      <c r="A24" s="24" t="s">
        <v>97</v>
      </c>
      <c r="B24" s="25">
        <v>2.023005501E9</v>
      </c>
      <c r="C24" s="32" t="s">
        <v>98</v>
      </c>
      <c r="D24" s="27" t="s">
        <v>87</v>
      </c>
      <c r="E24" s="28" t="str">
        <f>IFERROR(__xludf.DUMMYFUNCTION("if(C24="""","""",QUERY(IMPORTRANGE(""https://docs.google.com/spreadsheets/d/1p-K1WwMNj5CZWWc1q5R9bOG5J5Yp9PG2gq2vtqhFprU/edit#gid=2112048218"", ""投資人版(2023.12.31)!A2:H""), ""SELECT Col7, Col5 WHERE Col8 CONTAINS '""&amp;$C24&amp;""'"", 0)
)"),"台北")</f>
        <v>台北</v>
      </c>
      <c r="F24" s="28" t="str">
        <f>IFERROR(__xludf.DUMMYFUNCTION("""COMPUTED_VALUE"""),"I. 資產公司")</f>
        <v>I. 資產公司</v>
      </c>
      <c r="G24" s="29" t="s">
        <v>88</v>
      </c>
      <c r="H24" s="29" t="s">
        <v>89</v>
      </c>
      <c r="I24" s="30">
        <v>150.0</v>
      </c>
      <c r="J24" s="31">
        <v>48.0</v>
      </c>
      <c r="K24" s="31">
        <v>54.0</v>
      </c>
      <c r="L24" s="31">
        <v>6.0</v>
      </c>
      <c r="M24" s="31">
        <v>70.0</v>
      </c>
    </row>
    <row r="25">
      <c r="A25" s="24" t="s">
        <v>97</v>
      </c>
      <c r="B25" s="25">
        <v>2.023005601E9</v>
      </c>
      <c r="C25" s="32" t="s">
        <v>99</v>
      </c>
      <c r="D25" s="27" t="s">
        <v>87</v>
      </c>
      <c r="E25" s="28" t="str">
        <f>IFERROR(__xludf.DUMMYFUNCTION("if(C25="""","""",QUERY(IMPORTRANGE(""https://docs.google.com/spreadsheets/d/1p-K1WwMNj5CZWWc1q5R9bOG5J5Yp9PG2gq2vtqhFprU/edit#gid=2112048218"", ""投資人版(2023.12.31)!A2:H""), ""SELECT Col7, Col5 WHERE Col8 CONTAINS '""&amp;$C25&amp;""'"", 0)
)"),"新竹")</f>
        <v>新竹</v>
      </c>
      <c r="F25" s="28" t="str">
        <f>IFERROR(__xludf.DUMMYFUNCTION("""COMPUTED_VALUE"""),"B. 包租代管")</f>
        <v>B. 包租代管</v>
      </c>
      <c r="G25" s="29" t="s">
        <v>100</v>
      </c>
      <c r="H25" s="29" t="s">
        <v>89</v>
      </c>
      <c r="I25" s="30">
        <v>50.0</v>
      </c>
      <c r="J25" s="31">
        <v>30.0</v>
      </c>
      <c r="K25" s="31">
        <v>51.0</v>
      </c>
      <c r="L25" s="31">
        <v>6.0</v>
      </c>
      <c r="M25" s="31">
        <v>70.0</v>
      </c>
    </row>
    <row r="26">
      <c r="A26" s="24" t="s">
        <v>97</v>
      </c>
      <c r="B26" s="25">
        <v>2.023007704E9</v>
      </c>
      <c r="C26" s="33" t="s">
        <v>101</v>
      </c>
      <c r="D26" s="27" t="s">
        <v>87</v>
      </c>
      <c r="E26" s="28" t="s">
        <v>102</v>
      </c>
      <c r="F26" s="28" t="s">
        <v>103</v>
      </c>
      <c r="G26" s="29" t="s">
        <v>95</v>
      </c>
      <c r="H26" s="29" t="s">
        <v>89</v>
      </c>
      <c r="I26" s="30">
        <v>10.0</v>
      </c>
      <c r="J26" s="31">
        <v>30.0</v>
      </c>
      <c r="K26" s="31">
        <v>59.0</v>
      </c>
      <c r="L26" s="31">
        <v>2.0</v>
      </c>
      <c r="M26" s="31">
        <v>50.0</v>
      </c>
    </row>
    <row r="27">
      <c r="A27" s="24" t="s">
        <v>97</v>
      </c>
      <c r="B27" s="25">
        <v>2.023005701E9</v>
      </c>
      <c r="C27" s="32" t="s">
        <v>104</v>
      </c>
      <c r="D27" s="27" t="s">
        <v>87</v>
      </c>
      <c r="E27" s="28" t="s">
        <v>105</v>
      </c>
      <c r="F27" s="28" t="s">
        <v>106</v>
      </c>
      <c r="G27" s="29" t="s">
        <v>107</v>
      </c>
      <c r="H27" s="29" t="s">
        <v>89</v>
      </c>
      <c r="I27" s="31">
        <v>750.0</v>
      </c>
      <c r="J27" s="31">
        <v>30.0</v>
      </c>
      <c r="K27" s="31">
        <v>79.0</v>
      </c>
      <c r="L27" s="31">
        <v>6.0</v>
      </c>
      <c r="M27" s="31">
        <v>80.0</v>
      </c>
    </row>
    <row r="28">
      <c r="A28" s="24" t="s">
        <v>97</v>
      </c>
      <c r="B28" s="25">
        <v>2.023003503E9</v>
      </c>
      <c r="C28" s="32" t="s">
        <v>108</v>
      </c>
      <c r="D28" s="27" t="s">
        <v>87</v>
      </c>
      <c r="E28" s="28" t="s">
        <v>102</v>
      </c>
      <c r="F28" s="28" t="s">
        <v>106</v>
      </c>
      <c r="G28" s="29" t="s">
        <v>109</v>
      </c>
      <c r="H28" s="29" t="s">
        <v>89</v>
      </c>
      <c r="I28" s="30">
        <v>50.0</v>
      </c>
      <c r="J28" s="31">
        <v>35.0</v>
      </c>
      <c r="K28" s="31">
        <v>51.0</v>
      </c>
      <c r="L28" s="31">
        <v>2.0</v>
      </c>
      <c r="M28" s="31">
        <v>60.0</v>
      </c>
    </row>
    <row r="29" hidden="1">
      <c r="A29" s="24" t="s">
        <v>97</v>
      </c>
      <c r="B29" s="25">
        <v>2.023004003E9</v>
      </c>
      <c r="C29" s="35" t="s">
        <v>809</v>
      </c>
      <c r="D29" s="27" t="s">
        <v>87</v>
      </c>
      <c r="E29" s="28" t="str">
        <f>IFERROR(__xludf.DUMMYFUNCTION("if(C29="""","""",QUERY(IMPORTRANGE(""https://docs.google.com/spreadsheets/d/1p-K1WwMNj5CZWWc1q5R9bOG5J5Yp9PG2gq2vtqhFprU/edit#gid=2112048218"", ""投資人版(2023.12.31)!A2:H""), ""SELECT Col7, Col5 WHERE Col8 CONTAINS '""&amp;$C29&amp;""'"", 0)
)"),"台中")</f>
        <v>台中</v>
      </c>
      <c r="F29" s="28" t="str">
        <f>IFERROR(__xludf.DUMMYFUNCTION("""COMPUTED_VALUE"""),"B. 包租代管")</f>
        <v>B. 包租代管</v>
      </c>
      <c r="G29" s="29" t="s">
        <v>88</v>
      </c>
      <c r="H29" s="29" t="s">
        <v>788</v>
      </c>
      <c r="I29" s="30">
        <v>200.0</v>
      </c>
      <c r="J29" s="30"/>
      <c r="K29" s="30"/>
      <c r="L29" s="30"/>
      <c r="M29" s="30"/>
    </row>
    <row r="30" hidden="1">
      <c r="A30" s="24" t="s">
        <v>97</v>
      </c>
      <c r="B30" s="25">
        <v>2.023006601E9</v>
      </c>
      <c r="C30" s="32" t="s">
        <v>810</v>
      </c>
      <c r="D30" s="27" t="s">
        <v>87</v>
      </c>
      <c r="E30" s="28" t="str">
        <f>IFERROR(__xludf.DUMMYFUNCTION("if(C30="""","""",QUERY(IMPORTRANGE(""https://docs.google.com/spreadsheets/d/1p-K1WwMNj5CZWWc1q5R9bOG5J5Yp9PG2gq2vtqhFprU/edit#gid=2112048218"", ""投資人版(2023.12.31)!A2:H""), ""SELECT Col7, Col5 WHERE Col8 CONTAINS '""&amp;$C30&amp;""'"", 0)
)"),"台北")</f>
        <v>台北</v>
      </c>
      <c r="F30" s="28" t="str">
        <f>IFERROR(__xludf.DUMMYFUNCTION("""COMPUTED_VALUE"""),"E. 共享辦公室")</f>
        <v>E. 共享辦公室</v>
      </c>
      <c r="G30" s="29" t="s">
        <v>141</v>
      </c>
      <c r="H30" s="29" t="s">
        <v>796</v>
      </c>
      <c r="I30" s="30">
        <v>50.0</v>
      </c>
      <c r="J30" s="30"/>
      <c r="K30" s="30"/>
      <c r="L30" s="30"/>
      <c r="M30" s="30"/>
    </row>
    <row r="31" hidden="1">
      <c r="A31" s="24" t="s">
        <v>97</v>
      </c>
      <c r="B31" s="25">
        <v>2.022001203E9</v>
      </c>
      <c r="C31" s="32" t="s">
        <v>811</v>
      </c>
      <c r="D31" s="27" t="s">
        <v>87</v>
      </c>
      <c r="E31" s="28" t="s">
        <v>102</v>
      </c>
      <c r="F31" s="27" t="s">
        <v>106</v>
      </c>
      <c r="G31" s="29" t="s">
        <v>787</v>
      </c>
      <c r="H31" s="29" t="s">
        <v>788</v>
      </c>
      <c r="I31" s="30">
        <v>100.0</v>
      </c>
      <c r="J31" s="30"/>
      <c r="K31" s="30"/>
      <c r="L31" s="30"/>
      <c r="M31" s="30"/>
    </row>
    <row r="32" hidden="1">
      <c r="A32" s="24" t="s">
        <v>97</v>
      </c>
      <c r="B32" s="25">
        <v>2.022001303E9</v>
      </c>
      <c r="C32" s="32" t="s">
        <v>812</v>
      </c>
      <c r="D32" s="27" t="s">
        <v>87</v>
      </c>
      <c r="E32" s="28" t="s">
        <v>102</v>
      </c>
      <c r="F32" s="27" t="s">
        <v>106</v>
      </c>
      <c r="G32" s="29" t="s">
        <v>115</v>
      </c>
      <c r="H32" s="29" t="s">
        <v>788</v>
      </c>
      <c r="I32" s="30">
        <v>100.0</v>
      </c>
      <c r="J32" s="30"/>
      <c r="K32" s="30"/>
      <c r="L32" s="30"/>
      <c r="M32" s="30"/>
    </row>
    <row r="33" hidden="1">
      <c r="A33" s="24" t="s">
        <v>97</v>
      </c>
      <c r="B33" s="25">
        <v>2.023002603E9</v>
      </c>
      <c r="C33" s="32" t="s">
        <v>813</v>
      </c>
      <c r="D33" s="27" t="s">
        <v>87</v>
      </c>
      <c r="E33" s="28" t="s">
        <v>102</v>
      </c>
      <c r="F33" s="27" t="s">
        <v>106</v>
      </c>
      <c r="G33" s="29" t="s">
        <v>88</v>
      </c>
      <c r="H33" s="29" t="s">
        <v>788</v>
      </c>
      <c r="I33" s="30">
        <v>50.0</v>
      </c>
      <c r="J33" s="30"/>
      <c r="K33" s="30"/>
      <c r="L33" s="30"/>
      <c r="M33" s="30"/>
    </row>
    <row r="34" hidden="1">
      <c r="A34" s="24" t="s">
        <v>97</v>
      </c>
      <c r="B34" s="25">
        <v>2.023002803E9</v>
      </c>
      <c r="C34" s="32" t="s">
        <v>814</v>
      </c>
      <c r="D34" s="27" t="s">
        <v>87</v>
      </c>
      <c r="E34" s="28" t="str">
        <f>IFERROR(__xludf.DUMMYFUNCTION("if(C34="""","""",QUERY(IMPORTRANGE(""https://docs.google.com/spreadsheets/d/1p-K1WwMNj5CZWWc1q5R9bOG5J5Yp9PG2gq2vtqhFprU/edit#gid=2112048218"", ""投資人版(2023.12.31)!A2:H""), ""SELECT Col7, Col5 WHERE Col8 CONTAINS '""&amp;$C34&amp;""'"", 0)
)"),"台中")</f>
        <v>台中</v>
      </c>
      <c r="F34" s="28" t="str">
        <f>IFERROR(__xludf.DUMMYFUNCTION("""COMPUTED_VALUE"""),"B. 包租代管")</f>
        <v>B. 包租代管</v>
      </c>
      <c r="G34" s="29" t="s">
        <v>88</v>
      </c>
      <c r="H34" s="29" t="s">
        <v>788</v>
      </c>
      <c r="I34" s="30">
        <v>15.0</v>
      </c>
      <c r="J34" s="30"/>
      <c r="K34" s="30"/>
      <c r="L34" s="30"/>
      <c r="M34" s="30"/>
    </row>
    <row r="35" hidden="1">
      <c r="A35" s="24" t="s">
        <v>97</v>
      </c>
      <c r="B35" s="25">
        <v>2.023002903E9</v>
      </c>
      <c r="C35" s="32" t="s">
        <v>815</v>
      </c>
      <c r="D35" s="27" t="s">
        <v>87</v>
      </c>
      <c r="E35" s="28" t="s">
        <v>102</v>
      </c>
      <c r="F35" s="27" t="s">
        <v>106</v>
      </c>
      <c r="G35" s="29" t="s">
        <v>88</v>
      </c>
      <c r="H35" s="29" t="s">
        <v>788</v>
      </c>
      <c r="I35" s="30">
        <v>150.0</v>
      </c>
      <c r="J35" s="30"/>
      <c r="K35" s="30"/>
      <c r="L35" s="30"/>
      <c r="M35" s="30"/>
    </row>
    <row r="36" hidden="1">
      <c r="A36" s="24" t="s">
        <v>97</v>
      </c>
      <c r="B36" s="25">
        <v>2.023003003E9</v>
      </c>
      <c r="C36" s="32" t="s">
        <v>816</v>
      </c>
      <c r="D36" s="27" t="s">
        <v>87</v>
      </c>
      <c r="E36" s="28" t="s">
        <v>102</v>
      </c>
      <c r="F36" s="27" t="s">
        <v>106</v>
      </c>
      <c r="G36" s="29" t="s">
        <v>88</v>
      </c>
      <c r="H36" s="29" t="s">
        <v>788</v>
      </c>
      <c r="I36" s="30">
        <v>100.0</v>
      </c>
      <c r="J36" s="30"/>
      <c r="K36" s="30"/>
      <c r="L36" s="30"/>
      <c r="M36" s="30"/>
    </row>
    <row r="37" hidden="1">
      <c r="A37" s="24" t="s">
        <v>97</v>
      </c>
      <c r="B37" s="25">
        <v>2.023003103E9</v>
      </c>
      <c r="C37" s="32" t="s">
        <v>817</v>
      </c>
      <c r="D37" s="27" t="s">
        <v>87</v>
      </c>
      <c r="E37" s="28" t="s">
        <v>102</v>
      </c>
      <c r="F37" s="27" t="s">
        <v>106</v>
      </c>
      <c r="G37" s="29" t="s">
        <v>88</v>
      </c>
      <c r="H37" s="29" t="s">
        <v>788</v>
      </c>
      <c r="I37" s="30">
        <v>150.0</v>
      </c>
      <c r="J37" s="30"/>
      <c r="K37" s="30"/>
      <c r="L37" s="30"/>
      <c r="M37" s="30"/>
    </row>
    <row r="38" hidden="1">
      <c r="A38" s="24" t="s">
        <v>97</v>
      </c>
      <c r="B38" s="25">
        <v>2.023003203E9</v>
      </c>
      <c r="C38" s="32" t="s">
        <v>818</v>
      </c>
      <c r="D38" s="27" t="s">
        <v>87</v>
      </c>
      <c r="E38" s="28" t="s">
        <v>102</v>
      </c>
      <c r="F38" s="27" t="s">
        <v>106</v>
      </c>
      <c r="G38" s="29" t="s">
        <v>88</v>
      </c>
      <c r="H38" s="29" t="s">
        <v>788</v>
      </c>
      <c r="I38" s="30">
        <v>100.0</v>
      </c>
      <c r="J38" s="30"/>
      <c r="K38" s="30"/>
      <c r="L38" s="30"/>
      <c r="M38" s="30"/>
    </row>
    <row r="39" hidden="1">
      <c r="A39" s="24" t="s">
        <v>97</v>
      </c>
      <c r="B39" s="25">
        <v>2.023006903E9</v>
      </c>
      <c r="C39" s="32" t="s">
        <v>819</v>
      </c>
      <c r="D39" s="27" t="s">
        <v>87</v>
      </c>
      <c r="E39" s="28" t="str">
        <f>IFERROR(__xludf.DUMMYFUNCTION("if(C39="""","""",QUERY(IMPORTRANGE(""https://docs.google.com/spreadsheets/d/1p-K1WwMNj5CZWWc1q5R9bOG5J5Yp9PG2gq2vtqhFprU/edit#gid=2112048218"", ""投資人版(2023.12.31)!A2:H""), ""SELECT Col7, Col5 WHERE Col8 CONTAINS '""&amp;$C39&amp;""'"", 0)
)"),"台中")</f>
        <v>台中</v>
      </c>
      <c r="F39" s="28" t="str">
        <f>IFERROR(__xludf.DUMMYFUNCTION("""COMPUTED_VALUE"""),"B. 包租代管")</f>
        <v>B. 包租代管</v>
      </c>
      <c r="G39" s="29" t="s">
        <v>109</v>
      </c>
      <c r="H39" s="29" t="s">
        <v>796</v>
      </c>
      <c r="I39" s="30">
        <v>150.0</v>
      </c>
      <c r="J39" s="30"/>
      <c r="K39" s="30"/>
      <c r="L39" s="30"/>
      <c r="M39" s="30"/>
    </row>
    <row r="40" hidden="1">
      <c r="A40" s="24" t="s">
        <v>97</v>
      </c>
      <c r="B40" s="25">
        <v>2.023004105E9</v>
      </c>
      <c r="C40" s="32" t="s">
        <v>820</v>
      </c>
      <c r="D40" s="27" t="s">
        <v>87</v>
      </c>
      <c r="E40" s="28" t="str">
        <f>IFERROR(__xludf.DUMMYFUNCTION("if(C40="""","""",QUERY(IMPORTRANGE(""https://docs.google.com/spreadsheets/d/1p-K1WwMNj5CZWWc1q5R9bOG5J5Yp9PG2gq2vtqhFprU/edit#gid=2112048218"", ""投資人版(2023.12.31)!A2:H""), ""SELECT Col7, Col5 WHERE Col8 CONTAINS '""&amp;$C40&amp;""'"", 0)
)"),"台南")</f>
        <v>台南</v>
      </c>
      <c r="F40" s="28" t="str">
        <f>IFERROR(__xludf.DUMMYFUNCTION("""COMPUTED_VALUE"""),"J. 建設公司")</f>
        <v>J. 建設公司</v>
      </c>
      <c r="G40" s="39" t="s">
        <v>95</v>
      </c>
      <c r="H40" s="29" t="s">
        <v>788</v>
      </c>
      <c r="I40" s="30">
        <v>300.0</v>
      </c>
      <c r="J40" s="30"/>
      <c r="K40" s="30"/>
      <c r="L40" s="30"/>
      <c r="M40" s="30"/>
    </row>
    <row r="41" hidden="1">
      <c r="A41" s="24" t="s">
        <v>97</v>
      </c>
      <c r="B41" s="25">
        <v>2.023004802E9</v>
      </c>
      <c r="C41" s="35" t="s">
        <v>821</v>
      </c>
      <c r="D41" s="28" t="s">
        <v>822</v>
      </c>
      <c r="E41" s="28" t="str">
        <f>IFERROR(__xludf.DUMMYFUNCTION("if(C41="""","""",QUERY(IMPORTRANGE(""https://docs.google.com/spreadsheets/d/1p-K1WwMNj5CZWWc1q5R9bOG5J5Yp9PG2gq2vtqhFprU/edit#gid=2112048218"", ""投資人版(2023.12.31)!A2:H""), ""SELECT Col7, Col5 WHERE Col8 CONTAINS '""&amp;$C41&amp;""'"", 0)
)"),"吉隆坡")</f>
        <v>吉隆坡</v>
      </c>
      <c r="F41" s="28" t="str">
        <f>IFERROR(__xludf.DUMMYFUNCTION("""COMPUTED_VALUE"""),"B. 包租代管")</f>
        <v>B. 包租代管</v>
      </c>
      <c r="G41" s="39" t="s">
        <v>88</v>
      </c>
      <c r="H41" s="29" t="s">
        <v>823</v>
      </c>
      <c r="I41" s="30">
        <v>500.0</v>
      </c>
      <c r="J41" s="30"/>
      <c r="K41" s="30"/>
      <c r="L41" s="30"/>
      <c r="M41" s="30"/>
    </row>
    <row r="42">
      <c r="A42" s="24" t="s">
        <v>97</v>
      </c>
      <c r="B42" s="25">
        <v>2.023005901E9</v>
      </c>
      <c r="C42" s="32" t="s">
        <v>110</v>
      </c>
      <c r="D42" s="27" t="s">
        <v>87</v>
      </c>
      <c r="E42" s="28" t="str">
        <f>IFERROR(__xludf.DUMMYFUNCTION("if(C42="""","""",QUERY(IMPORTRANGE(""https://docs.google.com/spreadsheets/d/1p-K1WwMNj5CZWWc1q5R9bOG5J5Yp9PG2gq2vtqhFprU/edit#gid=2112048218"", ""投資人版(2023.12.31)!A2:H""), ""SELECT Col7, Col5 WHERE Col8 CONTAINS '""&amp;$C42&amp;""'"", 0)
)"),"桃園")</f>
        <v>桃園</v>
      </c>
      <c r="F42" s="28" t="str">
        <f>IFERROR(__xludf.DUMMYFUNCTION("""COMPUTED_VALUE"""),"B. 包租代管")</f>
        <v>B. 包租代管</v>
      </c>
      <c r="G42" s="29" t="s">
        <v>88</v>
      </c>
      <c r="H42" s="29" t="s">
        <v>89</v>
      </c>
      <c r="I42" s="30">
        <v>50.0</v>
      </c>
      <c r="J42" s="31">
        <v>38.0</v>
      </c>
      <c r="K42" s="31">
        <v>77.0</v>
      </c>
      <c r="L42" s="31">
        <v>2.0</v>
      </c>
      <c r="M42" s="31">
        <v>80.0</v>
      </c>
    </row>
    <row r="43" hidden="1">
      <c r="A43" s="24" t="s">
        <v>97</v>
      </c>
      <c r="B43" s="25">
        <v>2.023003905E9</v>
      </c>
      <c r="C43" s="32" t="s">
        <v>824</v>
      </c>
      <c r="D43" s="27" t="s">
        <v>87</v>
      </c>
      <c r="E43" s="28" t="str">
        <f>IFERROR(__xludf.DUMMYFUNCTION("if(C43="""","""",QUERY(IMPORTRANGE(""https://docs.google.com/spreadsheets/d/1p-K1WwMNj5CZWWc1q5R9bOG5J5Yp9PG2gq2vtqhFprU/edit#gid=2112048218"", ""投資人版(2023.12.31)!A2:H""), ""SELECT Col7, Col5 WHERE Col8 CONTAINS '""&amp;$C43&amp;""'"", 0)
)"),"台南")</f>
        <v>台南</v>
      </c>
      <c r="F43" s="28" t="str">
        <f>IFERROR(__xludf.DUMMYFUNCTION("""COMPUTED_VALUE"""),"B. 包租代管")</f>
        <v>B. 包租代管</v>
      </c>
      <c r="G43" s="29" t="s">
        <v>109</v>
      </c>
      <c r="H43" s="29" t="s">
        <v>788</v>
      </c>
      <c r="I43" s="30">
        <v>1000.0</v>
      </c>
      <c r="J43" s="30"/>
      <c r="K43" s="30"/>
      <c r="L43" s="30"/>
      <c r="M43" s="30"/>
    </row>
    <row r="44" hidden="1">
      <c r="A44" s="24" t="s">
        <v>97</v>
      </c>
      <c r="B44" s="25">
        <v>2.023004202E9</v>
      </c>
      <c r="C44" s="32" t="s">
        <v>825</v>
      </c>
      <c r="D44" s="28" t="s">
        <v>826</v>
      </c>
      <c r="E44" s="28" t="s">
        <v>826</v>
      </c>
      <c r="F44" s="28" t="s">
        <v>106</v>
      </c>
      <c r="G44" s="29" t="s">
        <v>100</v>
      </c>
      <c r="H44" s="29" t="s">
        <v>788</v>
      </c>
      <c r="I44" s="30">
        <v>50.0</v>
      </c>
      <c r="J44" s="30"/>
      <c r="K44" s="30"/>
      <c r="L44" s="30"/>
      <c r="M44" s="30"/>
    </row>
    <row r="45">
      <c r="A45" s="24" t="s">
        <v>97</v>
      </c>
      <c r="B45" s="25">
        <v>2.023006805E9</v>
      </c>
      <c r="C45" s="34" t="s">
        <v>111</v>
      </c>
      <c r="D45" s="27" t="s">
        <v>87</v>
      </c>
      <c r="E45" s="28" t="str">
        <f>IFERROR(__xludf.DUMMYFUNCTION("if(C45="""","""",QUERY(IMPORTRANGE(""https://docs.google.com/spreadsheets/d/1p-K1WwMNj5CZWWc1q5R9bOG5J5Yp9PG2gq2vtqhFprU/edit#gid=2112048218"", ""投資人版(2023.12.31)!A2:H""), ""SELECT Col7, Col5 WHERE Col8 CONTAINS '""&amp;$C45&amp;""'"", 0)
)"),"高雄")</f>
        <v>高雄</v>
      </c>
      <c r="F45" s="28" t="str">
        <f>IFERROR(__xludf.DUMMYFUNCTION("""COMPUTED_VALUE"""),"J. 建設公司")</f>
        <v>J. 建設公司</v>
      </c>
      <c r="G45" s="29" t="s">
        <v>95</v>
      </c>
      <c r="H45" s="29" t="s">
        <v>89</v>
      </c>
      <c r="I45" s="30">
        <v>50.0</v>
      </c>
      <c r="J45" s="31">
        <v>23.0</v>
      </c>
      <c r="K45" s="31">
        <v>51.0</v>
      </c>
      <c r="L45" s="31">
        <v>4.0</v>
      </c>
      <c r="M45" s="31">
        <v>10.0</v>
      </c>
    </row>
    <row r="46" hidden="1">
      <c r="A46" s="24" t="s">
        <v>112</v>
      </c>
      <c r="B46" s="25">
        <v>2.023007001E9</v>
      </c>
      <c r="C46" s="32" t="s">
        <v>827</v>
      </c>
      <c r="D46" s="27" t="s">
        <v>87</v>
      </c>
      <c r="E46" s="28" t="s">
        <v>152</v>
      </c>
      <c r="F46" s="28" t="s">
        <v>106</v>
      </c>
      <c r="G46" s="29" t="s">
        <v>88</v>
      </c>
      <c r="H46" s="29" t="s">
        <v>788</v>
      </c>
      <c r="I46" s="30">
        <v>100.0</v>
      </c>
      <c r="J46" s="30"/>
      <c r="K46" s="30"/>
      <c r="L46" s="30"/>
      <c r="M46" s="30"/>
    </row>
    <row r="47">
      <c r="A47" s="24" t="s">
        <v>112</v>
      </c>
      <c r="B47" s="25">
        <v>2.024007801E9</v>
      </c>
      <c r="C47" s="35" t="s">
        <v>113</v>
      </c>
      <c r="D47" s="27" t="s">
        <v>87</v>
      </c>
      <c r="E47" s="28" t="s">
        <v>105</v>
      </c>
      <c r="F47" s="28" t="s">
        <v>114</v>
      </c>
      <c r="G47" s="29" t="s">
        <v>115</v>
      </c>
      <c r="H47" s="29" t="s">
        <v>89</v>
      </c>
      <c r="I47" s="30">
        <v>50.0</v>
      </c>
      <c r="J47" s="31">
        <v>45.0</v>
      </c>
      <c r="K47" s="31">
        <v>46.0</v>
      </c>
      <c r="L47" s="31">
        <v>12.0</v>
      </c>
      <c r="M47" s="31">
        <v>20.0</v>
      </c>
    </row>
    <row r="48" hidden="1">
      <c r="A48" s="24" t="s">
        <v>112</v>
      </c>
      <c r="B48" s="24" t="s">
        <v>828</v>
      </c>
      <c r="C48" s="35" t="s">
        <v>829</v>
      </c>
      <c r="D48" s="27" t="s">
        <v>87</v>
      </c>
      <c r="E48" s="28" t="s">
        <v>830</v>
      </c>
      <c r="F48" s="28" t="s">
        <v>130</v>
      </c>
      <c r="G48" s="29" t="s">
        <v>109</v>
      </c>
      <c r="H48" s="29" t="s">
        <v>89</v>
      </c>
      <c r="I48" s="30">
        <v>200.0</v>
      </c>
      <c r="J48" s="30"/>
      <c r="K48" s="30"/>
      <c r="L48" s="30"/>
      <c r="M48" s="31">
        <v>20.0</v>
      </c>
    </row>
    <row r="49" hidden="1">
      <c r="A49" s="24" t="s">
        <v>112</v>
      </c>
      <c r="B49" s="32"/>
      <c r="C49" s="35" t="s">
        <v>831</v>
      </c>
      <c r="D49" s="27" t="s">
        <v>87</v>
      </c>
      <c r="E49" s="28" t="s">
        <v>105</v>
      </c>
      <c r="F49" s="28" t="s">
        <v>832</v>
      </c>
      <c r="G49" s="39" t="s">
        <v>95</v>
      </c>
      <c r="H49" s="29" t="s">
        <v>796</v>
      </c>
      <c r="I49" s="30">
        <v>250.0</v>
      </c>
      <c r="J49" s="30"/>
      <c r="K49" s="30"/>
      <c r="L49" s="30"/>
      <c r="M49" s="30"/>
    </row>
    <row r="50" hidden="1">
      <c r="A50" s="24" t="s">
        <v>112</v>
      </c>
      <c r="B50" s="24" t="s">
        <v>833</v>
      </c>
      <c r="C50" s="32" t="s">
        <v>834</v>
      </c>
      <c r="D50" s="27" t="s">
        <v>87</v>
      </c>
      <c r="E50" s="28" t="s">
        <v>835</v>
      </c>
      <c r="F50" s="28" t="s">
        <v>103</v>
      </c>
      <c r="G50" s="29" t="s">
        <v>115</v>
      </c>
      <c r="H50" s="29" t="s">
        <v>796</v>
      </c>
      <c r="I50" s="30">
        <v>50.0</v>
      </c>
      <c r="J50" s="30"/>
      <c r="K50" s="30"/>
      <c r="L50" s="30"/>
      <c r="M50" s="30"/>
    </row>
    <row r="51">
      <c r="A51" s="24" t="s">
        <v>112</v>
      </c>
      <c r="B51" s="36"/>
      <c r="C51" s="32" t="s">
        <v>116</v>
      </c>
      <c r="D51" s="28" t="s">
        <v>117</v>
      </c>
      <c r="E51" s="28" t="s">
        <v>118</v>
      </c>
      <c r="F51" s="29" t="s">
        <v>106</v>
      </c>
      <c r="G51" s="29" t="s">
        <v>115</v>
      </c>
      <c r="H51" s="29" t="s">
        <v>89</v>
      </c>
      <c r="I51" s="29">
        <v>250.0</v>
      </c>
      <c r="J51" s="37">
        <v>48.0</v>
      </c>
      <c r="K51" s="37">
        <v>54.0</v>
      </c>
      <c r="L51" s="37">
        <v>8.0</v>
      </c>
      <c r="M51" s="37">
        <v>80.0</v>
      </c>
    </row>
    <row r="52" hidden="1">
      <c r="A52" s="24" t="s">
        <v>112</v>
      </c>
      <c r="B52" s="25">
        <v>2.024007401E9</v>
      </c>
      <c r="C52" s="32" t="s">
        <v>836</v>
      </c>
      <c r="D52" s="27" t="s">
        <v>87</v>
      </c>
      <c r="E52" s="28" t="s">
        <v>105</v>
      </c>
      <c r="F52" s="28" t="s">
        <v>106</v>
      </c>
      <c r="G52" s="29" t="s">
        <v>88</v>
      </c>
      <c r="H52" s="29" t="s">
        <v>788</v>
      </c>
      <c r="I52" s="30">
        <v>50.0</v>
      </c>
      <c r="J52" s="30"/>
      <c r="K52" s="30"/>
      <c r="L52" s="30"/>
      <c r="M52" s="30"/>
    </row>
    <row r="53" hidden="1">
      <c r="A53" s="24" t="s">
        <v>112</v>
      </c>
      <c r="B53" s="25">
        <v>2.024007602E9</v>
      </c>
      <c r="C53" s="35" t="s">
        <v>837</v>
      </c>
      <c r="D53" s="27" t="s">
        <v>87</v>
      </c>
      <c r="E53" s="28" t="s">
        <v>838</v>
      </c>
      <c r="F53" s="28" t="s">
        <v>839</v>
      </c>
      <c r="G53" s="29" t="s">
        <v>109</v>
      </c>
      <c r="H53" s="29" t="s">
        <v>796</v>
      </c>
      <c r="I53" s="30">
        <v>50.0</v>
      </c>
      <c r="J53" s="30"/>
      <c r="K53" s="30"/>
      <c r="L53" s="30"/>
      <c r="M53" s="30"/>
    </row>
    <row r="54" hidden="1">
      <c r="A54" s="24" t="s">
        <v>112</v>
      </c>
      <c r="B54" s="32"/>
      <c r="C54" s="32" t="s">
        <v>840</v>
      </c>
      <c r="D54" s="27" t="s">
        <v>87</v>
      </c>
      <c r="E54" s="28" t="s">
        <v>105</v>
      </c>
      <c r="F54" s="29" t="s">
        <v>127</v>
      </c>
      <c r="G54" s="39" t="s">
        <v>88</v>
      </c>
      <c r="H54" s="29" t="s">
        <v>796</v>
      </c>
      <c r="I54" s="30">
        <v>50.0</v>
      </c>
      <c r="J54" s="30"/>
      <c r="K54" s="30"/>
      <c r="L54" s="30"/>
      <c r="M54" s="30"/>
    </row>
    <row r="55" hidden="1">
      <c r="A55" s="24" t="s">
        <v>112</v>
      </c>
      <c r="B55" s="36"/>
      <c r="C55" s="32" t="s">
        <v>841</v>
      </c>
      <c r="D55" s="27" t="s">
        <v>87</v>
      </c>
      <c r="E55" s="28" t="s">
        <v>842</v>
      </c>
      <c r="F55" s="29" t="s">
        <v>106</v>
      </c>
      <c r="G55" s="29" t="s">
        <v>107</v>
      </c>
      <c r="H55" s="29" t="s">
        <v>796</v>
      </c>
      <c r="I55" s="30">
        <v>50.0</v>
      </c>
      <c r="J55" s="30"/>
      <c r="K55" s="30"/>
      <c r="L55" s="30"/>
      <c r="M55" s="30"/>
    </row>
    <row r="56" hidden="1">
      <c r="A56" s="24" t="s">
        <v>112</v>
      </c>
      <c r="B56" s="36"/>
      <c r="C56" s="34" t="s">
        <v>843</v>
      </c>
      <c r="D56" s="28" t="s">
        <v>87</v>
      </c>
      <c r="E56" s="28" t="s">
        <v>844</v>
      </c>
      <c r="F56" s="29" t="s">
        <v>106</v>
      </c>
      <c r="G56" s="29" t="s">
        <v>787</v>
      </c>
      <c r="H56" s="29" t="s">
        <v>796</v>
      </c>
      <c r="I56" s="29">
        <v>150.0</v>
      </c>
      <c r="J56" s="29"/>
      <c r="K56" s="29"/>
      <c r="L56" s="29"/>
      <c r="M56" s="29"/>
    </row>
    <row r="57" hidden="1">
      <c r="A57" s="24" t="s">
        <v>112</v>
      </c>
      <c r="B57" s="36"/>
      <c r="C57" s="34" t="s">
        <v>845</v>
      </c>
      <c r="D57" s="28" t="s">
        <v>87</v>
      </c>
      <c r="E57" s="28" t="s">
        <v>105</v>
      </c>
      <c r="F57" s="29" t="s">
        <v>114</v>
      </c>
      <c r="G57" s="39" t="s">
        <v>88</v>
      </c>
      <c r="H57" s="29" t="s">
        <v>788</v>
      </c>
      <c r="I57" s="29">
        <v>50.0</v>
      </c>
      <c r="J57" s="29"/>
      <c r="K57" s="29"/>
      <c r="L57" s="29"/>
      <c r="M57" s="29"/>
    </row>
    <row r="58" hidden="1">
      <c r="A58" s="24" t="s">
        <v>112</v>
      </c>
      <c r="B58" s="36"/>
      <c r="C58" s="32" t="s">
        <v>846</v>
      </c>
      <c r="D58" s="28" t="s">
        <v>847</v>
      </c>
      <c r="E58" s="29" t="s">
        <v>848</v>
      </c>
      <c r="F58" s="29" t="s">
        <v>839</v>
      </c>
      <c r="G58" s="29" t="s">
        <v>109</v>
      </c>
      <c r="H58" s="29" t="s">
        <v>796</v>
      </c>
      <c r="I58" s="29">
        <v>300.0</v>
      </c>
      <c r="J58" s="29"/>
      <c r="K58" s="29"/>
      <c r="L58" s="29"/>
      <c r="M58" s="29"/>
    </row>
    <row r="59" hidden="1">
      <c r="A59" s="24" t="s">
        <v>112</v>
      </c>
      <c r="B59" s="25">
        <v>2.024007203E9</v>
      </c>
      <c r="C59" s="26" t="s">
        <v>849</v>
      </c>
      <c r="D59" s="27" t="s">
        <v>87</v>
      </c>
      <c r="E59" s="28" t="s">
        <v>102</v>
      </c>
      <c r="F59" s="27" t="s">
        <v>106</v>
      </c>
      <c r="G59" s="29" t="s">
        <v>88</v>
      </c>
      <c r="H59" s="29" t="s">
        <v>788</v>
      </c>
      <c r="I59" s="30">
        <v>50.0</v>
      </c>
      <c r="J59" s="30"/>
      <c r="K59" s="30"/>
      <c r="L59" s="30"/>
      <c r="M59" s="30"/>
    </row>
    <row r="60" hidden="1">
      <c r="A60" s="24" t="s">
        <v>112</v>
      </c>
      <c r="B60" s="25">
        <v>2.024007303E9</v>
      </c>
      <c r="C60" s="26" t="s">
        <v>850</v>
      </c>
      <c r="D60" s="27" t="s">
        <v>87</v>
      </c>
      <c r="E60" s="28" t="s">
        <v>102</v>
      </c>
      <c r="F60" s="27" t="s">
        <v>106</v>
      </c>
      <c r="G60" s="29" t="s">
        <v>88</v>
      </c>
      <c r="H60" s="29" t="s">
        <v>788</v>
      </c>
      <c r="I60" s="30">
        <v>50.0</v>
      </c>
      <c r="J60" s="30"/>
      <c r="K60" s="30"/>
      <c r="L60" s="30"/>
      <c r="M60" s="30"/>
    </row>
    <row r="61" hidden="1">
      <c r="A61" s="24" t="s">
        <v>112</v>
      </c>
      <c r="B61" s="36"/>
      <c r="C61" s="32" t="s">
        <v>851</v>
      </c>
      <c r="D61" s="28" t="s">
        <v>87</v>
      </c>
      <c r="E61" s="28" t="s">
        <v>105</v>
      </c>
      <c r="F61" s="29" t="s">
        <v>807</v>
      </c>
      <c r="G61" s="29" t="s">
        <v>88</v>
      </c>
      <c r="H61" s="29" t="s">
        <v>788</v>
      </c>
      <c r="I61" s="29">
        <v>50.0</v>
      </c>
      <c r="J61" s="29"/>
      <c r="K61" s="29"/>
      <c r="L61" s="29"/>
      <c r="M61" s="29"/>
    </row>
    <row r="62" hidden="1">
      <c r="A62" s="24" t="s">
        <v>112</v>
      </c>
      <c r="B62" s="36"/>
      <c r="C62" s="32" t="s">
        <v>852</v>
      </c>
      <c r="D62" s="28" t="s">
        <v>87</v>
      </c>
      <c r="E62" s="28" t="s">
        <v>853</v>
      </c>
      <c r="F62" s="29" t="s">
        <v>130</v>
      </c>
      <c r="G62" s="29" t="s">
        <v>109</v>
      </c>
      <c r="H62" s="29" t="s">
        <v>89</v>
      </c>
      <c r="I62" s="29">
        <v>50.0</v>
      </c>
      <c r="J62" s="29"/>
      <c r="K62" s="29"/>
      <c r="L62" s="29"/>
      <c r="M62" s="37">
        <v>20.0</v>
      </c>
    </row>
    <row r="63" hidden="1">
      <c r="A63" s="24" t="s">
        <v>112</v>
      </c>
      <c r="B63" s="24" t="s">
        <v>854</v>
      </c>
      <c r="C63" s="32" t="s">
        <v>855</v>
      </c>
      <c r="D63" s="27" t="s">
        <v>87</v>
      </c>
      <c r="E63" s="29" t="s">
        <v>856</v>
      </c>
      <c r="F63" s="28" t="s">
        <v>106</v>
      </c>
      <c r="G63" s="29" t="s">
        <v>107</v>
      </c>
      <c r="H63" s="29" t="s">
        <v>89</v>
      </c>
      <c r="I63" s="30">
        <v>50.0</v>
      </c>
      <c r="J63" s="30"/>
      <c r="K63" s="30"/>
      <c r="L63" s="30"/>
      <c r="M63" s="31">
        <v>60.0</v>
      </c>
    </row>
    <row r="64">
      <c r="A64" s="24" t="s">
        <v>112</v>
      </c>
      <c r="B64" s="24" t="s">
        <v>119</v>
      </c>
      <c r="C64" s="32" t="s">
        <v>120</v>
      </c>
      <c r="D64" s="27" t="s">
        <v>87</v>
      </c>
      <c r="E64" s="28" t="s">
        <v>105</v>
      </c>
      <c r="F64" s="28" t="s">
        <v>106</v>
      </c>
      <c r="G64" s="29" t="s">
        <v>88</v>
      </c>
      <c r="H64" s="29" t="s">
        <v>89</v>
      </c>
      <c r="I64" s="31">
        <v>1200.0</v>
      </c>
      <c r="J64" s="31">
        <v>73.0</v>
      </c>
      <c r="K64" s="31">
        <v>81.0</v>
      </c>
      <c r="L64" s="31">
        <v>4.0</v>
      </c>
      <c r="M64" s="31">
        <v>100.0</v>
      </c>
    </row>
    <row r="65">
      <c r="A65" s="24" t="s">
        <v>112</v>
      </c>
      <c r="B65" s="24" t="s">
        <v>121</v>
      </c>
      <c r="C65" s="32" t="s">
        <v>122</v>
      </c>
      <c r="D65" s="27" t="s">
        <v>87</v>
      </c>
      <c r="E65" s="28" t="s">
        <v>123</v>
      </c>
      <c r="F65" s="28" t="s">
        <v>106</v>
      </c>
      <c r="G65" s="29" t="s">
        <v>100</v>
      </c>
      <c r="H65" s="29" t="s">
        <v>89</v>
      </c>
      <c r="I65" s="30">
        <v>150.0</v>
      </c>
      <c r="J65" s="31">
        <v>28.0</v>
      </c>
      <c r="K65" s="31">
        <v>56.0</v>
      </c>
      <c r="L65" s="31">
        <v>5.0</v>
      </c>
      <c r="M65" s="31">
        <v>50.0</v>
      </c>
    </row>
    <row r="66">
      <c r="A66" s="24" t="s">
        <v>112</v>
      </c>
      <c r="B66" s="24" t="s">
        <v>124</v>
      </c>
      <c r="C66" s="35" t="s">
        <v>125</v>
      </c>
      <c r="D66" s="27" t="s">
        <v>87</v>
      </c>
      <c r="E66" s="29" t="s">
        <v>102</v>
      </c>
      <c r="F66" s="28" t="s">
        <v>106</v>
      </c>
      <c r="G66" s="29" t="s">
        <v>107</v>
      </c>
      <c r="H66" s="29" t="s">
        <v>89</v>
      </c>
      <c r="I66" s="30">
        <v>100.0</v>
      </c>
      <c r="J66" s="31">
        <v>40.0</v>
      </c>
      <c r="K66" s="31">
        <v>36.0</v>
      </c>
      <c r="L66" s="31">
        <v>12.0</v>
      </c>
      <c r="M66" s="31">
        <v>40.0</v>
      </c>
    </row>
    <row r="67" hidden="1">
      <c r="A67" s="24" t="s">
        <v>112</v>
      </c>
      <c r="B67" s="32"/>
      <c r="C67" s="32" t="s">
        <v>857</v>
      </c>
      <c r="D67" s="27" t="s">
        <v>87</v>
      </c>
      <c r="E67" s="28" t="s">
        <v>105</v>
      </c>
      <c r="F67" s="28" t="s">
        <v>106</v>
      </c>
      <c r="G67" s="29" t="s">
        <v>115</v>
      </c>
      <c r="H67" s="29" t="s">
        <v>89</v>
      </c>
      <c r="I67" s="30">
        <v>50.0</v>
      </c>
      <c r="J67" s="31"/>
      <c r="K67" s="31"/>
      <c r="L67" s="30"/>
      <c r="M67" s="31">
        <v>30.0</v>
      </c>
    </row>
    <row r="68" hidden="1">
      <c r="A68" s="24" t="s">
        <v>112</v>
      </c>
      <c r="B68" s="36"/>
      <c r="C68" s="32" t="s">
        <v>858</v>
      </c>
      <c r="D68" s="28" t="s">
        <v>859</v>
      </c>
      <c r="E68" s="28" t="s">
        <v>838</v>
      </c>
      <c r="F68" s="29" t="s">
        <v>106</v>
      </c>
      <c r="G68" s="29" t="s">
        <v>109</v>
      </c>
      <c r="H68" s="29" t="s">
        <v>796</v>
      </c>
      <c r="I68" s="30">
        <v>2000.0</v>
      </c>
      <c r="J68" s="30"/>
      <c r="K68" s="30"/>
      <c r="L68" s="30"/>
      <c r="M68" s="30"/>
    </row>
    <row r="69">
      <c r="A69" s="24" t="s">
        <v>112</v>
      </c>
      <c r="B69" s="36"/>
      <c r="C69" s="32" t="s">
        <v>126</v>
      </c>
      <c r="D69" s="27" t="s">
        <v>87</v>
      </c>
      <c r="E69" s="28" t="s">
        <v>105</v>
      </c>
      <c r="F69" s="29" t="s">
        <v>127</v>
      </c>
      <c r="G69" s="29" t="s">
        <v>88</v>
      </c>
      <c r="H69" s="29" t="s">
        <v>89</v>
      </c>
      <c r="I69" s="30">
        <v>100.0</v>
      </c>
      <c r="J69" s="31">
        <v>25.0</v>
      </c>
      <c r="K69" s="31">
        <v>89.0</v>
      </c>
      <c r="L69" s="31">
        <v>2.0</v>
      </c>
      <c r="M69" s="31">
        <v>90.0</v>
      </c>
    </row>
    <row r="70" hidden="1">
      <c r="A70" s="24" t="s">
        <v>112</v>
      </c>
      <c r="B70" s="36"/>
      <c r="C70" s="35" t="s">
        <v>860</v>
      </c>
      <c r="D70" s="28" t="s">
        <v>87</v>
      </c>
      <c r="E70" s="28" t="s">
        <v>842</v>
      </c>
      <c r="F70" s="29" t="s">
        <v>106</v>
      </c>
      <c r="G70" s="39" t="s">
        <v>88</v>
      </c>
      <c r="H70" s="29" t="s">
        <v>788</v>
      </c>
      <c r="I70" s="29">
        <v>100.0</v>
      </c>
      <c r="J70" s="29"/>
      <c r="K70" s="29"/>
      <c r="L70" s="29"/>
      <c r="M70" s="29"/>
    </row>
    <row r="71" hidden="1">
      <c r="A71" s="24" t="s">
        <v>112</v>
      </c>
      <c r="B71" s="36"/>
      <c r="C71" s="32" t="s">
        <v>861</v>
      </c>
      <c r="D71" s="27" t="s">
        <v>87</v>
      </c>
      <c r="E71" s="28" t="s">
        <v>842</v>
      </c>
      <c r="F71" s="28" t="s">
        <v>127</v>
      </c>
      <c r="G71" s="29" t="s">
        <v>107</v>
      </c>
      <c r="H71" s="29" t="s">
        <v>796</v>
      </c>
      <c r="I71" s="30">
        <v>50.0</v>
      </c>
      <c r="J71" s="30"/>
      <c r="K71" s="30"/>
      <c r="L71" s="30"/>
      <c r="M71" s="30"/>
    </row>
    <row r="72">
      <c r="A72" s="24" t="s">
        <v>112</v>
      </c>
      <c r="B72" s="34"/>
      <c r="C72" s="32" t="s">
        <v>128</v>
      </c>
      <c r="D72" s="27" t="s">
        <v>87</v>
      </c>
      <c r="E72" s="28" t="s">
        <v>129</v>
      </c>
      <c r="F72" s="28" t="s">
        <v>130</v>
      </c>
      <c r="G72" s="29" t="s">
        <v>109</v>
      </c>
      <c r="H72" s="29" t="s">
        <v>89</v>
      </c>
      <c r="I72" s="30">
        <v>50.0</v>
      </c>
      <c r="J72" s="31">
        <v>35.0</v>
      </c>
      <c r="K72" s="31">
        <v>49.0</v>
      </c>
      <c r="L72" s="31">
        <v>9.0</v>
      </c>
      <c r="M72" s="31">
        <v>50.0</v>
      </c>
    </row>
    <row r="73" hidden="1">
      <c r="A73" s="24" t="s">
        <v>112</v>
      </c>
      <c r="B73" s="32"/>
      <c r="C73" s="32" t="s">
        <v>862</v>
      </c>
      <c r="D73" s="27" t="s">
        <v>87</v>
      </c>
      <c r="E73" s="28" t="s">
        <v>105</v>
      </c>
      <c r="F73" s="28" t="s">
        <v>863</v>
      </c>
      <c r="G73" s="29" t="s">
        <v>95</v>
      </c>
      <c r="H73" s="29" t="s">
        <v>823</v>
      </c>
      <c r="I73" s="30">
        <v>5000.0</v>
      </c>
      <c r="J73" s="30"/>
      <c r="K73" s="30"/>
      <c r="L73" s="30"/>
      <c r="M73" s="30"/>
    </row>
    <row r="74" hidden="1">
      <c r="A74" s="112" t="s">
        <v>112</v>
      </c>
      <c r="B74" s="34"/>
      <c r="C74" s="34" t="s">
        <v>864</v>
      </c>
      <c r="D74" s="27" t="s">
        <v>87</v>
      </c>
      <c r="E74" s="29" t="s">
        <v>102</v>
      </c>
      <c r="F74" s="29" t="s">
        <v>106</v>
      </c>
      <c r="G74" s="29" t="s">
        <v>88</v>
      </c>
      <c r="H74" s="29" t="s">
        <v>796</v>
      </c>
      <c r="I74" s="30">
        <v>50.0</v>
      </c>
      <c r="J74" s="30"/>
      <c r="K74" s="30"/>
      <c r="L74" s="30"/>
      <c r="M74" s="30"/>
    </row>
    <row r="75">
      <c r="A75" s="24" t="s">
        <v>112</v>
      </c>
      <c r="B75" s="36"/>
      <c r="C75" s="34" t="s">
        <v>131</v>
      </c>
      <c r="D75" s="28" t="s">
        <v>87</v>
      </c>
      <c r="E75" s="28" t="s">
        <v>129</v>
      </c>
      <c r="F75" s="29" t="s">
        <v>106</v>
      </c>
      <c r="G75" s="29" t="s">
        <v>88</v>
      </c>
      <c r="H75" s="38" t="s">
        <v>89</v>
      </c>
      <c r="I75" s="38" t="s">
        <v>132</v>
      </c>
      <c r="J75" s="31">
        <v>30.0</v>
      </c>
      <c r="K75" s="31">
        <v>51.0</v>
      </c>
      <c r="L75" s="37">
        <v>3.0</v>
      </c>
      <c r="M75" s="37">
        <v>60.0</v>
      </c>
    </row>
    <row r="76">
      <c r="A76" s="24" t="s">
        <v>112</v>
      </c>
      <c r="B76" s="36"/>
      <c r="C76" s="32" t="s">
        <v>133</v>
      </c>
      <c r="D76" s="28" t="s">
        <v>87</v>
      </c>
      <c r="E76" s="28" t="s">
        <v>134</v>
      </c>
      <c r="F76" s="29" t="s">
        <v>135</v>
      </c>
      <c r="G76" s="29" t="s">
        <v>107</v>
      </c>
      <c r="H76" s="29" t="s">
        <v>89</v>
      </c>
      <c r="I76" s="29">
        <v>50.0</v>
      </c>
      <c r="J76" s="31">
        <v>25.0</v>
      </c>
      <c r="K76" s="31">
        <v>61.0</v>
      </c>
      <c r="L76" s="37">
        <v>3.0</v>
      </c>
      <c r="M76" s="37">
        <v>60.0</v>
      </c>
    </row>
    <row r="77">
      <c r="A77" s="24" t="s">
        <v>112</v>
      </c>
      <c r="B77" s="36"/>
      <c r="C77" s="32" t="s">
        <v>136</v>
      </c>
      <c r="D77" s="28" t="s">
        <v>87</v>
      </c>
      <c r="E77" s="28" t="s">
        <v>137</v>
      </c>
      <c r="F77" s="29" t="s">
        <v>106</v>
      </c>
      <c r="G77" s="29" t="s">
        <v>88</v>
      </c>
      <c r="H77" s="29" t="s">
        <v>89</v>
      </c>
      <c r="I77" s="29">
        <v>50.0</v>
      </c>
      <c r="J77" s="31">
        <v>45.0</v>
      </c>
      <c r="K77" s="31">
        <v>59.0</v>
      </c>
      <c r="L77" s="37">
        <v>4.0</v>
      </c>
      <c r="M77" s="37">
        <v>60.0</v>
      </c>
    </row>
    <row r="78">
      <c r="A78" s="24" t="s">
        <v>112</v>
      </c>
      <c r="B78" s="24" t="s">
        <v>138</v>
      </c>
      <c r="C78" s="32" t="s">
        <v>139</v>
      </c>
      <c r="D78" s="27" t="s">
        <v>87</v>
      </c>
      <c r="E78" s="28" t="s">
        <v>140</v>
      </c>
      <c r="F78" s="28" t="s">
        <v>103</v>
      </c>
      <c r="G78" s="29" t="s">
        <v>141</v>
      </c>
      <c r="H78" s="29" t="s">
        <v>89</v>
      </c>
      <c r="I78" s="30">
        <v>50.0</v>
      </c>
      <c r="J78" s="31">
        <v>28.0</v>
      </c>
      <c r="K78" s="31">
        <v>66.0</v>
      </c>
      <c r="L78" s="31">
        <v>4.0</v>
      </c>
      <c r="M78" s="31">
        <v>70.0</v>
      </c>
    </row>
    <row r="79">
      <c r="A79" s="24" t="s">
        <v>112</v>
      </c>
      <c r="B79" s="36"/>
      <c r="C79" s="32" t="s">
        <v>142</v>
      </c>
      <c r="D79" s="28" t="s">
        <v>87</v>
      </c>
      <c r="E79" s="28" t="s">
        <v>143</v>
      </c>
      <c r="F79" s="29" t="s">
        <v>103</v>
      </c>
      <c r="G79" s="39" t="s">
        <v>95</v>
      </c>
      <c r="H79" s="29" t="s">
        <v>89</v>
      </c>
      <c r="I79" s="29">
        <v>50.0</v>
      </c>
      <c r="J79" s="31">
        <v>35.0</v>
      </c>
      <c r="K79" s="31">
        <v>53.0</v>
      </c>
      <c r="L79" s="37">
        <v>6.0</v>
      </c>
      <c r="M79" s="37">
        <v>60.0</v>
      </c>
    </row>
    <row r="80">
      <c r="A80" s="24" t="s">
        <v>144</v>
      </c>
      <c r="B80" s="36"/>
      <c r="C80" s="32" t="s">
        <v>145</v>
      </c>
      <c r="D80" s="28" t="s">
        <v>87</v>
      </c>
      <c r="E80" s="28" t="s">
        <v>146</v>
      </c>
      <c r="F80" s="29" t="s">
        <v>106</v>
      </c>
      <c r="G80" s="29" t="s">
        <v>88</v>
      </c>
      <c r="H80" s="29" t="s">
        <v>89</v>
      </c>
      <c r="I80" s="29">
        <v>50.0</v>
      </c>
      <c r="J80" s="31">
        <v>50.0</v>
      </c>
      <c r="K80" s="31">
        <v>54.0</v>
      </c>
      <c r="L80" s="37">
        <v>4.0</v>
      </c>
      <c r="M80" s="37">
        <v>60.0</v>
      </c>
    </row>
    <row r="81">
      <c r="A81" s="24" t="s">
        <v>144</v>
      </c>
      <c r="B81" s="36"/>
      <c r="C81" s="32" t="s">
        <v>147</v>
      </c>
      <c r="D81" s="28" t="s">
        <v>87</v>
      </c>
      <c r="E81" s="28" t="s">
        <v>148</v>
      </c>
      <c r="F81" s="29" t="s">
        <v>106</v>
      </c>
      <c r="G81" s="29" t="s">
        <v>109</v>
      </c>
      <c r="H81" s="29" t="s">
        <v>89</v>
      </c>
      <c r="I81" s="29">
        <v>100.0</v>
      </c>
      <c r="J81" s="31">
        <v>40.0</v>
      </c>
      <c r="K81" s="31">
        <v>66.0</v>
      </c>
      <c r="L81" s="37">
        <v>2.0</v>
      </c>
      <c r="M81" s="37">
        <v>80.0</v>
      </c>
    </row>
    <row r="82" hidden="1">
      <c r="A82" s="24" t="s">
        <v>144</v>
      </c>
      <c r="B82" s="36"/>
      <c r="C82" s="32" t="s">
        <v>865</v>
      </c>
      <c r="D82" s="28" t="s">
        <v>87</v>
      </c>
      <c r="E82" s="28" t="s">
        <v>143</v>
      </c>
      <c r="F82" s="29" t="s">
        <v>106</v>
      </c>
      <c r="G82" s="29" t="s">
        <v>88</v>
      </c>
      <c r="H82" s="29" t="s">
        <v>796</v>
      </c>
      <c r="I82" s="29">
        <v>150.0</v>
      </c>
      <c r="J82" s="29"/>
      <c r="K82" s="29"/>
      <c r="L82" s="29"/>
      <c r="M82" s="29"/>
    </row>
    <row r="83" hidden="1">
      <c r="H83" s="113"/>
    </row>
    <row r="84" hidden="1">
      <c r="A84" s="114" t="s">
        <v>866</v>
      </c>
      <c r="B84" s="115"/>
      <c r="C84" s="116"/>
      <c r="D84" s="116"/>
      <c r="E84" s="116"/>
      <c r="F84" s="116"/>
      <c r="G84" s="116"/>
      <c r="H84" s="116"/>
      <c r="I84" s="116"/>
    </row>
    <row r="85" hidden="1">
      <c r="A85" s="117">
        <v>2023.0</v>
      </c>
      <c r="B85" s="118"/>
      <c r="C85" s="119" t="s">
        <v>867</v>
      </c>
      <c r="D85" s="120" t="s">
        <v>87</v>
      </c>
      <c r="E85" s="121" t="str">
        <f>IFERROR(__xludf.DUMMYFUNCTION("if(C85="""","""",QUERY(IMPORTRANGE(""https://docs.google.com/spreadsheets/d/1p-K1WwMNj5CZWWc1q5R9bOG5J5Yp9PG2gq2vtqhFprU/edit#gid=2112048218"", ""投資人版(2023.12.31)!A2:H""), ""SELECT Col7, Col5 WHERE Col8 CONTAINS '""&amp;$C85&amp;""'"", 0)
)"),"全台")</f>
        <v>全台</v>
      </c>
      <c r="F85" s="121" t="str">
        <f>IFERROR(__xludf.DUMMYFUNCTION("""COMPUTED_VALUE"""),"E. 共享辦公室")</f>
        <v>E. 共享辦公室</v>
      </c>
      <c r="G85" s="119"/>
      <c r="H85" s="121" t="s">
        <v>788</v>
      </c>
      <c r="I85" s="122">
        <v>100.0</v>
      </c>
    </row>
    <row r="86" hidden="1">
      <c r="A86" s="123">
        <v>2022.0</v>
      </c>
      <c r="B86" s="118"/>
      <c r="C86" s="124" t="s">
        <v>868</v>
      </c>
      <c r="D86" s="120" t="s">
        <v>87</v>
      </c>
      <c r="E86" s="119"/>
      <c r="F86" s="119"/>
      <c r="G86" s="125"/>
      <c r="H86" s="121" t="s">
        <v>823</v>
      </c>
      <c r="I86" s="126" t="s">
        <v>132</v>
      </c>
    </row>
    <row r="87" hidden="1">
      <c r="A87" s="117">
        <v>2022.0</v>
      </c>
      <c r="B87" s="118"/>
      <c r="C87" s="119" t="s">
        <v>869</v>
      </c>
      <c r="D87" s="120" t="s">
        <v>87</v>
      </c>
      <c r="E87" s="121" t="str">
        <f>IFERROR(__xludf.DUMMYFUNCTION("if(C87="""","""",QUERY(IMPORTRANGE(""https://docs.google.com/spreadsheets/d/1p-K1WwMNj5CZWWc1q5R9bOG5J5Yp9PG2gq2vtqhFprU/edit#gid=2112048218"", ""投資人版(2023.12.31)!A2:H""), ""SELECT Col7, Col5 WHERE Col8 CONTAINS '""&amp;$C87&amp;""'"", 0)
)"),"台北")</f>
        <v>台北</v>
      </c>
      <c r="F87" s="121" t="str">
        <f>IFERROR(__xludf.DUMMYFUNCTION("""COMPUTED_VALUE"""),"B. 包租代管")</f>
        <v>B. 包租代管</v>
      </c>
      <c r="G87" s="119"/>
      <c r="H87" s="126" t="s">
        <v>788</v>
      </c>
      <c r="I87" s="126" t="s">
        <v>132</v>
      </c>
    </row>
    <row r="88" hidden="1">
      <c r="A88" s="117">
        <v>2023.0</v>
      </c>
      <c r="B88" s="118"/>
      <c r="C88" s="119" t="s">
        <v>870</v>
      </c>
      <c r="D88" s="120" t="s">
        <v>87</v>
      </c>
      <c r="E88" s="121" t="str">
        <f>IFERROR(__xludf.DUMMYFUNCTION("if(C88="""","""",QUERY(IMPORTRANGE(""https://docs.google.com/spreadsheets/d/1p-K1WwMNj5CZWWc1q5R9bOG5J5Yp9PG2gq2vtqhFprU/edit#gid=2112048218"", ""投資人版(2023.12.31)!A2:H""), ""SELECT Col7, Col5 WHERE Col8 CONTAINS '""&amp;$C88&amp;""'"", 0)
)"),"高雄")</f>
        <v>高雄</v>
      </c>
      <c r="F88" s="121" t="str">
        <f>IFERROR(__xludf.DUMMYFUNCTION("""COMPUTED_VALUE"""),"B. 包租代管")</f>
        <v>B. 包租代管</v>
      </c>
      <c r="G88" s="127" t="s">
        <v>88</v>
      </c>
      <c r="H88" s="126" t="s">
        <v>89</v>
      </c>
      <c r="I88" s="126" t="s">
        <v>132</v>
      </c>
      <c r="J88" s="128"/>
      <c r="K88" s="128"/>
      <c r="L88" s="129"/>
      <c r="M88" s="129">
        <v>40.0</v>
      </c>
    </row>
    <row r="89" hidden="1">
      <c r="A89" s="123">
        <v>2023.0</v>
      </c>
      <c r="B89" s="118"/>
      <c r="C89" s="124" t="s">
        <v>871</v>
      </c>
      <c r="D89" s="120" t="s">
        <v>87</v>
      </c>
      <c r="E89" s="119"/>
      <c r="F89" s="119"/>
      <c r="G89" s="125"/>
      <c r="H89" s="126" t="s">
        <v>788</v>
      </c>
      <c r="I89" s="126" t="s">
        <v>132</v>
      </c>
    </row>
    <row r="90" hidden="1">
      <c r="A90" s="123">
        <v>2023.0</v>
      </c>
      <c r="B90" s="118"/>
      <c r="C90" s="119" t="s">
        <v>872</v>
      </c>
      <c r="D90" s="120" t="s">
        <v>87</v>
      </c>
      <c r="E90" s="121" t="s">
        <v>842</v>
      </c>
      <c r="F90" s="121" t="s">
        <v>839</v>
      </c>
      <c r="G90" s="125"/>
      <c r="H90" s="126" t="s">
        <v>788</v>
      </c>
      <c r="I90" s="126" t="s">
        <v>873</v>
      </c>
    </row>
    <row r="91" hidden="1">
      <c r="A91" s="123">
        <v>2023.0</v>
      </c>
      <c r="B91" s="118"/>
      <c r="C91" s="119" t="s">
        <v>874</v>
      </c>
      <c r="D91" s="120" t="s">
        <v>859</v>
      </c>
      <c r="E91" s="121" t="s">
        <v>838</v>
      </c>
      <c r="F91" s="121" t="s">
        <v>839</v>
      </c>
      <c r="G91" s="125"/>
      <c r="H91" s="126" t="s">
        <v>823</v>
      </c>
      <c r="I91" s="126" t="s">
        <v>875</v>
      </c>
    </row>
    <row r="92" hidden="1">
      <c r="A92" s="123">
        <v>2023.0</v>
      </c>
      <c r="B92" s="118"/>
      <c r="C92" s="119" t="s">
        <v>876</v>
      </c>
      <c r="D92" s="120" t="s">
        <v>847</v>
      </c>
      <c r="E92" s="121" t="s">
        <v>877</v>
      </c>
      <c r="F92" s="121" t="s">
        <v>135</v>
      </c>
      <c r="G92" s="125"/>
      <c r="H92" s="126" t="s">
        <v>823</v>
      </c>
      <c r="I92" s="126" t="s">
        <v>132</v>
      </c>
    </row>
    <row r="93" hidden="1">
      <c r="A93" s="123">
        <v>2023.0</v>
      </c>
      <c r="B93" s="118"/>
      <c r="C93" s="119" t="s">
        <v>878</v>
      </c>
      <c r="D93" s="120" t="s">
        <v>87</v>
      </c>
      <c r="E93" s="121" t="s">
        <v>842</v>
      </c>
      <c r="F93" s="121" t="s">
        <v>103</v>
      </c>
      <c r="G93" s="125"/>
      <c r="H93" s="126" t="s">
        <v>879</v>
      </c>
      <c r="I93" s="126" t="s">
        <v>132</v>
      </c>
    </row>
    <row r="94" hidden="1">
      <c r="A94" s="117">
        <v>2022.0</v>
      </c>
      <c r="B94" s="118"/>
      <c r="C94" s="119" t="s">
        <v>880</v>
      </c>
      <c r="D94" s="120" t="s">
        <v>87</v>
      </c>
      <c r="E94" s="121" t="str">
        <f>IFERROR(__xludf.DUMMYFUNCTION("if(C94="""","""",QUERY(IMPORTRANGE(""https://docs.google.com/spreadsheets/d/1p-K1WwMNj5CZWWc1q5R9bOG5J5Yp9PG2gq2vtqhFprU/edit#gid=2112048218"", ""投資人版(2023.12.31)!A2:H""), ""SELECT Col7, Col5 WHERE Col8 CONTAINS '""&amp;$C94&amp;""'"", 0)
)"),"新竹")</f>
        <v>新竹</v>
      </c>
      <c r="F94" s="121" t="str">
        <f>IFERROR(__xludf.DUMMYFUNCTION("""COMPUTED_VALUE"""),"B. 包租代管")</f>
        <v>B. 包租代管</v>
      </c>
      <c r="G94" s="119"/>
      <c r="H94" s="121" t="s">
        <v>788</v>
      </c>
      <c r="I94" s="122">
        <v>50.0</v>
      </c>
    </row>
    <row r="95">
      <c r="A95" s="117">
        <v>2023.0</v>
      </c>
      <c r="B95" s="118"/>
      <c r="C95" s="119" t="s">
        <v>149</v>
      </c>
      <c r="D95" s="120" t="s">
        <v>87</v>
      </c>
      <c r="E95" s="121" t="str">
        <f>IFERROR(__xludf.DUMMYFUNCTION("if(C95="""","""",QUERY(IMPORTRANGE(""https://docs.google.com/spreadsheets/d/1p-K1WwMNj5CZWWc1q5R9bOG5J5Yp9PG2gq2vtqhFprU/edit#gid=2112048218"", ""投資人版(2023.12.31)!A2:H""), ""SELECT Col7, Col5 WHERE Col8 CONTAINS '""&amp;$C95&amp;""'"", 0)
)"),"台中")</f>
        <v>台中</v>
      </c>
      <c r="F95" s="121" t="str">
        <f>IFERROR(__xludf.DUMMYFUNCTION("""COMPUTED_VALUE"""),"B. 包租代管")</f>
        <v>B. 包租代管</v>
      </c>
      <c r="G95" s="127" t="s">
        <v>109</v>
      </c>
      <c r="H95" s="121" t="s">
        <v>89</v>
      </c>
      <c r="I95" s="122">
        <v>150.0</v>
      </c>
      <c r="J95" s="128">
        <v>50.0</v>
      </c>
      <c r="K95" s="128">
        <v>37.0</v>
      </c>
      <c r="L95" s="129">
        <v>12.0</v>
      </c>
      <c r="M95" s="129">
        <v>40.0</v>
      </c>
    </row>
    <row r="96" hidden="1">
      <c r="A96" s="117">
        <v>2023.0</v>
      </c>
      <c r="B96" s="118"/>
      <c r="C96" s="119" t="s">
        <v>881</v>
      </c>
      <c r="D96" s="120" t="s">
        <v>87</v>
      </c>
      <c r="E96" s="121" t="str">
        <f>IFERROR(__xludf.DUMMYFUNCTION("if(C96="""","""",QUERY(IMPORTRANGE(""https://docs.google.com/spreadsheets/d/1p-K1WwMNj5CZWWc1q5R9bOG5J5Yp9PG2gq2vtqhFprU/edit#gid=2112048218"", ""投資人版(2023.12.31)!A2:H""), ""SELECT Col7, Col5 WHERE Col8 CONTAINS '""&amp;$C96&amp;""'"", 0)
)"),"台中")</f>
        <v>台中</v>
      </c>
      <c r="F96" s="121" t="str">
        <f>IFERROR(__xludf.DUMMYFUNCTION("""COMPUTED_VALUE"""),"I. 資產公司")</f>
        <v>I. 資產公司</v>
      </c>
      <c r="G96" s="127" t="s">
        <v>109</v>
      </c>
      <c r="H96" s="121" t="s">
        <v>89</v>
      </c>
      <c r="I96" s="122">
        <v>50.0</v>
      </c>
      <c r="J96" s="128"/>
      <c r="K96" s="128"/>
      <c r="L96" s="129"/>
      <c r="M96" s="129">
        <v>40.0</v>
      </c>
    </row>
    <row r="97" hidden="1">
      <c r="A97" s="123">
        <v>2023.0</v>
      </c>
      <c r="B97" s="118"/>
      <c r="C97" s="119" t="s">
        <v>882</v>
      </c>
      <c r="D97" s="121" t="s">
        <v>859</v>
      </c>
      <c r="E97" s="121" t="s">
        <v>838</v>
      </c>
      <c r="F97" s="121" t="s">
        <v>839</v>
      </c>
      <c r="G97" s="125"/>
      <c r="H97" s="126" t="s">
        <v>823</v>
      </c>
      <c r="I97" s="126" t="s">
        <v>875</v>
      </c>
    </row>
    <row r="98" hidden="1">
      <c r="A98" s="117">
        <v>2023.0</v>
      </c>
      <c r="B98" s="118"/>
      <c r="C98" s="119" t="s">
        <v>883</v>
      </c>
      <c r="D98" s="120" t="s">
        <v>87</v>
      </c>
      <c r="E98" s="121" t="str">
        <f>IFERROR(__xludf.DUMMYFUNCTION("if(C98="""","""",QUERY(IMPORTRANGE(""https://docs.google.com/spreadsheets/d/1p-K1WwMNj5CZWWc1q5R9bOG5J5Yp9PG2gq2vtqhFprU/edit#gid=2112048218"", ""投資人版(2023.12.31)!A2:H""), ""SELECT Col7, Col5 WHERE Col8 CONTAINS '""&amp;$C98&amp;""'"", 0)
)"),"台中")</f>
        <v>台中</v>
      </c>
      <c r="F98" s="121" t="str">
        <f>IFERROR(__xludf.DUMMYFUNCTION("""COMPUTED_VALUE"""),"B. 包租代管")</f>
        <v>B. 包租代管</v>
      </c>
      <c r="G98" s="119"/>
      <c r="H98" s="121" t="s">
        <v>823</v>
      </c>
      <c r="I98" s="122">
        <v>50.0</v>
      </c>
    </row>
    <row r="99" hidden="1">
      <c r="A99" s="117">
        <v>2022.0</v>
      </c>
      <c r="B99" s="118"/>
      <c r="C99" s="119" t="s">
        <v>884</v>
      </c>
      <c r="D99" s="120" t="s">
        <v>87</v>
      </c>
      <c r="E99" s="121" t="str">
        <f>IFERROR(__xludf.DUMMYFUNCTION("if(C99="""","""",QUERY(IMPORTRANGE(""https://docs.google.com/spreadsheets/d/1p-K1WwMNj5CZWWc1q5R9bOG5J5Yp9PG2gq2vtqhFprU/edit#gid=2112048218"", ""投資人版(2023.12.31)!A2:H""), ""SELECT Col7, Col5 WHERE Col8 CONTAINS '""&amp;$C99&amp;""'"", 0)
)"),"台北")</f>
        <v>台北</v>
      </c>
      <c r="F99" s="121" t="str">
        <f>IFERROR(__xludf.DUMMYFUNCTION("""COMPUTED_VALUE"""),"B. 包租代管")</f>
        <v>B. 包租代管</v>
      </c>
      <c r="G99" s="119"/>
      <c r="H99" s="121" t="s">
        <v>788</v>
      </c>
      <c r="I99" s="122">
        <v>50.0</v>
      </c>
    </row>
    <row r="100" hidden="1">
      <c r="A100" s="117">
        <v>2023.0</v>
      </c>
      <c r="B100" s="118"/>
      <c r="C100" s="119" t="s">
        <v>885</v>
      </c>
      <c r="D100" s="120" t="s">
        <v>87</v>
      </c>
      <c r="E100" s="120" t="s">
        <v>87</v>
      </c>
      <c r="F100" s="121" t="s">
        <v>886</v>
      </c>
      <c r="G100" s="119"/>
      <c r="H100" s="121" t="s">
        <v>823</v>
      </c>
      <c r="I100" s="122">
        <v>50.0</v>
      </c>
    </row>
    <row r="101" hidden="1">
      <c r="A101" s="117">
        <v>2023.0</v>
      </c>
      <c r="B101" s="118"/>
      <c r="C101" s="119" t="s">
        <v>887</v>
      </c>
      <c r="D101" s="120" t="s">
        <v>87</v>
      </c>
      <c r="E101" s="121" t="str">
        <f>IFERROR(__xludf.DUMMYFUNCTION("if(C101="""","""",QUERY(IMPORTRANGE(""https://docs.google.com/spreadsheets/d/1p-K1WwMNj5CZWWc1q5R9bOG5J5Yp9PG2gq2vtqhFprU/edit#gid=2112048218"", ""投資人版(2023.12.31)!A2:H""), ""SELECT Col7, Col5 WHERE Col8 CONTAINS '""&amp;$C101&amp;""'"", 0)
)"),"新北")</f>
        <v>新北</v>
      </c>
      <c r="F101" s="121" t="str">
        <f>IFERROR(__xludf.DUMMYFUNCTION("""COMPUTED_VALUE"""),"B. 包租代管")</f>
        <v>B. 包租代管</v>
      </c>
      <c r="G101" s="119"/>
      <c r="H101" s="121" t="s">
        <v>788</v>
      </c>
      <c r="I101" s="122">
        <v>50.0</v>
      </c>
    </row>
    <row r="102" hidden="1">
      <c r="A102" s="117">
        <v>2023.0</v>
      </c>
      <c r="B102" s="118"/>
      <c r="C102" s="119" t="s">
        <v>888</v>
      </c>
      <c r="D102" s="121" t="s">
        <v>87</v>
      </c>
      <c r="E102" s="121" t="str">
        <f>IFERROR(__xludf.DUMMYFUNCTION("if(C102="""","""",QUERY(IMPORTRANGE(""https://docs.google.com/spreadsheets/d/1p-K1WwMNj5CZWWc1q5R9bOG5J5Yp9PG2gq2vtqhFprU/edit#gid=2112048218"", ""投資人版(2023.12.31)!A2:H""), ""SELECT Col7, Col5 WHERE Col8 CONTAINS '""&amp;$C102&amp;""'"", 0)
)"),"桃園")</f>
        <v>桃園</v>
      </c>
      <c r="F102" s="121" t="str">
        <f>IFERROR(__xludf.DUMMYFUNCTION("""COMPUTED_VALUE"""),"D. 仲介-連鎖")</f>
        <v>D. 仲介-連鎖</v>
      </c>
      <c r="G102" s="127" t="s">
        <v>109</v>
      </c>
      <c r="H102" s="121" t="s">
        <v>89</v>
      </c>
      <c r="I102" s="122">
        <v>50.0</v>
      </c>
      <c r="J102" s="128"/>
      <c r="K102" s="128"/>
      <c r="L102" s="129"/>
      <c r="M102" s="129">
        <v>40.0</v>
      </c>
    </row>
    <row r="103" hidden="1">
      <c r="A103" s="117">
        <v>2022.0</v>
      </c>
      <c r="B103" s="118"/>
      <c r="C103" s="119" t="s">
        <v>889</v>
      </c>
      <c r="D103" s="121" t="s">
        <v>822</v>
      </c>
      <c r="E103" s="121" t="str">
        <f>IFERROR(__xludf.DUMMYFUNCTION("if(C103="""","""",QUERY(IMPORTRANGE(""https://docs.google.com/spreadsheets/d/1p-K1WwMNj5CZWWc1q5R9bOG5J5Yp9PG2gq2vtqhFprU/edit#gid=2112048218"", ""投資人版(2023.12.31)!A2:H""), ""SELECT Col7, Col5 WHERE Col8 CONTAINS '""&amp;$C103&amp;""'"", 0)
)"),"吉隆坡")</f>
        <v>吉隆坡</v>
      </c>
      <c r="F103" s="121" t="str">
        <f>IFERROR(__xludf.DUMMYFUNCTION("""COMPUTED_VALUE"""),"D. 仲介-跨國")</f>
        <v>D. 仲介-跨國</v>
      </c>
      <c r="G103" s="127" t="s">
        <v>109</v>
      </c>
      <c r="H103" s="121" t="s">
        <v>89</v>
      </c>
      <c r="I103" s="122">
        <v>50.0</v>
      </c>
      <c r="J103" s="128"/>
      <c r="K103" s="128"/>
      <c r="L103" s="129"/>
      <c r="M103" s="129">
        <v>30.0</v>
      </c>
    </row>
    <row r="104" hidden="1">
      <c r="A104" s="117">
        <v>2023.0</v>
      </c>
      <c r="B104" s="118"/>
      <c r="C104" s="119" t="s">
        <v>890</v>
      </c>
      <c r="D104" s="120" t="s">
        <v>87</v>
      </c>
      <c r="E104" s="121" t="str">
        <f>IFERROR(__xludf.DUMMYFUNCTION("if(C104="""","""",QUERY(IMPORTRANGE(""https://docs.google.com/spreadsheets/d/1p-K1WwMNj5CZWWc1q5R9bOG5J5Yp9PG2gq2vtqhFprU/edit#gid=2112048218"", ""投資人版(2023.12.31)!A2:H""), ""SELECT Col7, Col5 WHERE Col8 CONTAINS '""&amp;$C104&amp;""'"", 0)
)"),"台中")</f>
        <v>台中</v>
      </c>
      <c r="F104" s="121" t="str">
        <f>IFERROR(__xludf.DUMMYFUNCTION("""COMPUTED_VALUE"""),"B. 包租代管")</f>
        <v>B. 包租代管</v>
      </c>
      <c r="G104" s="119"/>
      <c r="H104" s="121" t="s">
        <v>788</v>
      </c>
      <c r="I104" s="130">
        <v>50.0</v>
      </c>
    </row>
    <row r="105" hidden="1">
      <c r="A105" s="117">
        <v>2023.0</v>
      </c>
      <c r="B105" s="118"/>
      <c r="C105" s="119" t="s">
        <v>891</v>
      </c>
      <c r="D105" s="120" t="s">
        <v>87</v>
      </c>
      <c r="E105" s="119"/>
      <c r="F105" s="119"/>
      <c r="G105" s="119"/>
      <c r="H105" s="121" t="s">
        <v>788</v>
      </c>
      <c r="I105" s="122">
        <v>300.0</v>
      </c>
    </row>
    <row r="106" hidden="1">
      <c r="A106" s="117">
        <v>2023.0</v>
      </c>
      <c r="B106" s="118"/>
      <c r="C106" s="119" t="s">
        <v>892</v>
      </c>
      <c r="D106" s="121" t="s">
        <v>87</v>
      </c>
      <c r="E106" s="121" t="str">
        <f>IFERROR(__xludf.DUMMYFUNCTION("if(C106="""","""",QUERY(IMPORTRANGE(""https://docs.google.com/spreadsheets/d/1p-K1WwMNj5CZWWc1q5R9bOG5J5Yp9PG2gq2vtqhFprU/edit#gid=2112048218"", ""投資人版(2023.12.31)!A2:H""), ""SELECT Col7, Col5 WHERE Col8 CONTAINS '""&amp;$C106&amp;""'"", 0)
)"),"新北")</f>
        <v>新北</v>
      </c>
      <c r="F106" s="121" t="str">
        <f>IFERROR(__xludf.DUMMYFUNCTION("""COMPUTED_VALUE"""),"B. 包租代管")</f>
        <v>B. 包租代管</v>
      </c>
      <c r="G106" s="127" t="s">
        <v>88</v>
      </c>
      <c r="H106" s="121" t="s">
        <v>89</v>
      </c>
      <c r="I106" s="122">
        <v>50.0</v>
      </c>
      <c r="J106" s="128"/>
      <c r="K106" s="128"/>
      <c r="L106" s="129"/>
      <c r="M106" s="129">
        <v>30.0</v>
      </c>
    </row>
    <row r="107" hidden="1">
      <c r="A107" s="117">
        <v>2023.0</v>
      </c>
      <c r="B107" s="119"/>
      <c r="C107" s="119" t="s">
        <v>893</v>
      </c>
      <c r="D107" s="121" t="s">
        <v>894</v>
      </c>
      <c r="E107" s="121" t="s">
        <v>895</v>
      </c>
      <c r="F107" s="121" t="s">
        <v>135</v>
      </c>
      <c r="G107" s="121" t="s">
        <v>115</v>
      </c>
      <c r="H107" s="121" t="s">
        <v>823</v>
      </c>
      <c r="I107" s="130">
        <v>50.0</v>
      </c>
    </row>
    <row r="108" hidden="1">
      <c r="A108" s="117">
        <v>2023.0</v>
      </c>
      <c r="B108" s="122" t="s">
        <v>896</v>
      </c>
      <c r="C108" s="124" t="s">
        <v>897</v>
      </c>
      <c r="D108" s="121" t="s">
        <v>894</v>
      </c>
      <c r="E108" s="121" t="str">
        <f>IFERROR(__xludf.DUMMYFUNCTION("if(C108="""","""",QUERY(IMPORTRANGE(""https://docs.google.com/spreadsheets/d/1p-K1WwMNj5CZWWc1q5R9bOG5J5Yp9PG2gq2vtqhFprU/edit#gid=2112048218"", ""投資人版(2023.12.31)!A2:H""), ""SELECT Col7, Col5 WHERE Col8 CONTAINS '""&amp;$C108&amp;""'"", 0)
)"),"胡志明")</f>
        <v>胡志明</v>
      </c>
      <c r="F108" s="121" t="str">
        <f>IFERROR(__xludf.DUMMYFUNCTION("""COMPUTED_VALUE"""),"D. 仲介-跨國")</f>
        <v>D. 仲介-跨國</v>
      </c>
      <c r="G108" s="121" t="s">
        <v>88</v>
      </c>
      <c r="H108" s="121" t="s">
        <v>788</v>
      </c>
      <c r="I108" s="130">
        <v>150.0</v>
      </c>
    </row>
    <row r="109" hidden="1">
      <c r="A109" s="117">
        <v>2022.0</v>
      </c>
      <c r="B109" s="122" t="s">
        <v>150</v>
      </c>
      <c r="C109" s="119" t="s">
        <v>898</v>
      </c>
      <c r="D109" s="120" t="s">
        <v>87</v>
      </c>
      <c r="E109" s="121" t="s">
        <v>102</v>
      </c>
      <c r="F109" s="120" t="s">
        <v>886</v>
      </c>
      <c r="G109" s="121" t="s">
        <v>109</v>
      </c>
      <c r="H109" s="121" t="s">
        <v>89</v>
      </c>
      <c r="I109" s="130">
        <v>50.0</v>
      </c>
      <c r="J109" s="128"/>
      <c r="K109" s="128"/>
      <c r="L109" s="129"/>
      <c r="M109" s="129">
        <v>40.0</v>
      </c>
    </row>
    <row r="110" hidden="1">
      <c r="A110" s="117">
        <v>2023.0</v>
      </c>
      <c r="B110" s="119"/>
      <c r="C110" s="119" t="s">
        <v>899</v>
      </c>
      <c r="D110" s="120" t="s">
        <v>87</v>
      </c>
      <c r="E110" s="121" t="str">
        <f>IFERROR(__xludf.DUMMYFUNCTION("if(C110="""","""",QUERY(IMPORTRANGE(""https://docs.google.com/spreadsheets/d/1p-K1WwMNj5CZWWc1q5R9bOG5J5Yp9PG2gq2vtqhFprU/edit#gid=2112048218"", ""投資人版(2023.12.31)!A2:H""), ""SELECT Col7, Col5 WHERE Col8 CONTAINS '""&amp;$C110&amp;""'"", 0)
)"),"宜蘭")</f>
        <v>宜蘭</v>
      </c>
      <c r="F110" s="121" t="str">
        <f>IFERROR(__xludf.DUMMYFUNCTION("""COMPUTED_VALUE"""),"B. 包租代管")</f>
        <v>B. 包租代管</v>
      </c>
      <c r="G110" s="121" t="s">
        <v>88</v>
      </c>
      <c r="H110" s="121" t="s">
        <v>796</v>
      </c>
      <c r="I110" s="130">
        <v>50.0</v>
      </c>
    </row>
    <row r="111" hidden="1">
      <c r="A111" s="117">
        <v>2023.0</v>
      </c>
      <c r="B111" s="122" t="s">
        <v>896</v>
      </c>
      <c r="C111" s="124" t="s">
        <v>900</v>
      </c>
      <c r="D111" s="120" t="s">
        <v>87</v>
      </c>
      <c r="E111" s="121" t="s">
        <v>105</v>
      </c>
      <c r="F111" s="119"/>
      <c r="G111" s="121" t="s">
        <v>88</v>
      </c>
      <c r="H111" s="121" t="s">
        <v>788</v>
      </c>
      <c r="I111" s="130">
        <v>100.0</v>
      </c>
    </row>
    <row r="112" hidden="1">
      <c r="A112" s="117">
        <v>2023.0</v>
      </c>
      <c r="B112" s="118"/>
      <c r="C112" s="119" t="s">
        <v>901</v>
      </c>
      <c r="D112" s="120" t="s">
        <v>87</v>
      </c>
      <c r="E112" s="121" t="s">
        <v>102</v>
      </c>
      <c r="F112" s="121" t="s">
        <v>106</v>
      </c>
      <c r="G112" s="119"/>
      <c r="H112" s="126" t="s">
        <v>788</v>
      </c>
      <c r="I112" s="126" t="s">
        <v>875</v>
      </c>
    </row>
    <row r="113" hidden="1">
      <c r="A113" s="123">
        <v>2023.0</v>
      </c>
      <c r="B113" s="118"/>
      <c r="C113" s="119" t="s">
        <v>902</v>
      </c>
      <c r="D113" s="120" t="s">
        <v>87</v>
      </c>
      <c r="E113" s="121" t="s">
        <v>102</v>
      </c>
      <c r="F113" s="121" t="s">
        <v>106</v>
      </c>
      <c r="G113" s="119"/>
      <c r="H113" s="121" t="s">
        <v>823</v>
      </c>
      <c r="I113" s="131">
        <v>1000.0</v>
      </c>
    </row>
    <row r="114">
      <c r="A114" s="117">
        <v>2024.0</v>
      </c>
      <c r="B114" s="122" t="s">
        <v>150</v>
      </c>
      <c r="C114" s="118" t="s">
        <v>151</v>
      </c>
      <c r="D114" s="120" t="s">
        <v>87</v>
      </c>
      <c r="E114" s="121" t="s">
        <v>152</v>
      </c>
      <c r="F114" s="120" t="s">
        <v>106</v>
      </c>
      <c r="G114" s="121" t="s">
        <v>88</v>
      </c>
      <c r="H114" s="121" t="s">
        <v>89</v>
      </c>
      <c r="I114" s="130">
        <v>50.0</v>
      </c>
      <c r="J114" s="128">
        <v>53.0</v>
      </c>
      <c r="K114" s="128">
        <v>37.0</v>
      </c>
      <c r="L114" s="129">
        <v>8.0</v>
      </c>
      <c r="M114" s="129">
        <v>40.0</v>
      </c>
    </row>
    <row r="115">
      <c r="H115" s="119"/>
    </row>
    <row r="116">
      <c r="H116" s="119"/>
    </row>
    <row r="117">
      <c r="H117" s="119"/>
    </row>
    <row r="118">
      <c r="H118" s="119"/>
    </row>
    <row r="119">
      <c r="H119" s="119"/>
    </row>
    <row r="120">
      <c r="H120" s="119"/>
    </row>
    <row r="121">
      <c r="H121" s="119"/>
    </row>
    <row r="122">
      <c r="H122" s="119"/>
    </row>
    <row r="123">
      <c r="H123" s="119"/>
    </row>
    <row r="124">
      <c r="H124" s="119"/>
    </row>
    <row r="125">
      <c r="H125" s="119"/>
    </row>
    <row r="126">
      <c r="H126" s="119"/>
    </row>
    <row r="127">
      <c r="H127" s="119"/>
    </row>
    <row r="128">
      <c r="H128" s="119"/>
    </row>
    <row r="129">
      <c r="H129" s="119"/>
    </row>
    <row r="130">
      <c r="H130" s="119"/>
    </row>
    <row r="131">
      <c r="H131" s="119"/>
    </row>
    <row r="132">
      <c r="H132" s="119"/>
    </row>
    <row r="133">
      <c r="H133" s="119"/>
    </row>
    <row r="134">
      <c r="H134" s="119"/>
    </row>
    <row r="135">
      <c r="H135" s="119"/>
    </row>
    <row r="136">
      <c r="H136" s="119"/>
    </row>
    <row r="137">
      <c r="H137" s="119"/>
    </row>
    <row r="138">
      <c r="H138" s="119"/>
    </row>
    <row r="139">
      <c r="H139" s="119"/>
    </row>
    <row r="140">
      <c r="H140" s="119"/>
    </row>
    <row r="141">
      <c r="H141" s="119"/>
    </row>
    <row r="142">
      <c r="H142" s="119"/>
    </row>
    <row r="143">
      <c r="H143" s="119"/>
    </row>
    <row r="144">
      <c r="H144" s="119"/>
    </row>
    <row r="145">
      <c r="H145" s="119"/>
    </row>
    <row r="146">
      <c r="H146" s="119"/>
    </row>
    <row r="147">
      <c r="H147" s="119"/>
    </row>
    <row r="148">
      <c r="H148" s="119"/>
    </row>
    <row r="149">
      <c r="H149" s="119"/>
    </row>
    <row r="150">
      <c r="H150" s="119"/>
    </row>
    <row r="151">
      <c r="H151" s="119"/>
    </row>
    <row r="152">
      <c r="H152" s="119"/>
    </row>
    <row r="153">
      <c r="H153" s="119"/>
    </row>
    <row r="154">
      <c r="H154" s="119"/>
    </row>
    <row r="155">
      <c r="H155" s="119"/>
    </row>
    <row r="156">
      <c r="H156" s="119"/>
    </row>
    <row r="157">
      <c r="H157" s="119"/>
    </row>
    <row r="158">
      <c r="H158" s="119"/>
    </row>
    <row r="159">
      <c r="H159" s="119"/>
    </row>
    <row r="160">
      <c r="H160" s="119"/>
    </row>
    <row r="161">
      <c r="H161" s="119"/>
    </row>
    <row r="162">
      <c r="H162" s="119"/>
    </row>
    <row r="163">
      <c r="H163" s="119"/>
    </row>
    <row r="164">
      <c r="H164" s="119"/>
    </row>
    <row r="165">
      <c r="H165" s="119"/>
    </row>
    <row r="166">
      <c r="H166" s="119"/>
    </row>
    <row r="167">
      <c r="H167" s="119"/>
    </row>
    <row r="168">
      <c r="H168" s="119"/>
    </row>
    <row r="169">
      <c r="H169" s="119"/>
    </row>
    <row r="170">
      <c r="H170" s="119"/>
    </row>
    <row r="171">
      <c r="H171" s="119"/>
    </row>
    <row r="172">
      <c r="H172" s="119"/>
    </row>
    <row r="173">
      <c r="H173" s="119"/>
    </row>
    <row r="174">
      <c r="H174" s="119"/>
    </row>
    <row r="175">
      <c r="H175" s="119"/>
    </row>
    <row r="176">
      <c r="H176" s="119"/>
    </row>
    <row r="177">
      <c r="H177" s="119"/>
    </row>
    <row r="178">
      <c r="H178" s="119"/>
    </row>
    <row r="179">
      <c r="H179" s="119"/>
    </row>
    <row r="180">
      <c r="H180" s="119"/>
    </row>
    <row r="181">
      <c r="H181" s="119"/>
    </row>
    <row r="182">
      <c r="H182" s="119"/>
    </row>
    <row r="183">
      <c r="H183" s="119"/>
    </row>
    <row r="184">
      <c r="H184" s="119"/>
    </row>
    <row r="185">
      <c r="H185" s="119"/>
    </row>
    <row r="186">
      <c r="H186" s="119"/>
    </row>
    <row r="187">
      <c r="H187" s="119"/>
    </row>
    <row r="188">
      <c r="H188" s="119"/>
    </row>
    <row r="189">
      <c r="H189" s="119"/>
    </row>
    <row r="190">
      <c r="H190" s="119"/>
    </row>
    <row r="191">
      <c r="H191" s="119"/>
    </row>
    <row r="192">
      <c r="H192" s="119"/>
    </row>
    <row r="193">
      <c r="H193" s="119"/>
    </row>
    <row r="194">
      <c r="H194" s="119"/>
    </row>
    <row r="195">
      <c r="H195" s="119"/>
    </row>
    <row r="196">
      <c r="H196" s="119"/>
    </row>
    <row r="197">
      <c r="H197" s="119"/>
    </row>
    <row r="198">
      <c r="H198" s="119"/>
    </row>
    <row r="199">
      <c r="H199" s="119"/>
    </row>
    <row r="200">
      <c r="H200" s="119"/>
    </row>
    <row r="201">
      <c r="H201" s="119"/>
    </row>
    <row r="202">
      <c r="H202" s="119"/>
    </row>
    <row r="203">
      <c r="H203" s="119"/>
    </row>
    <row r="204">
      <c r="H204" s="119"/>
    </row>
    <row r="205">
      <c r="H205" s="119"/>
    </row>
    <row r="206">
      <c r="H206" s="119"/>
    </row>
    <row r="207">
      <c r="H207" s="119"/>
    </row>
    <row r="208">
      <c r="H208" s="119"/>
    </row>
    <row r="209">
      <c r="H209" s="119"/>
    </row>
    <row r="210">
      <c r="H210" s="119"/>
    </row>
    <row r="211">
      <c r="H211" s="119"/>
    </row>
    <row r="212">
      <c r="H212" s="119"/>
    </row>
    <row r="213">
      <c r="H213" s="119"/>
    </row>
    <row r="214">
      <c r="H214" s="119"/>
    </row>
    <row r="215">
      <c r="H215" s="119"/>
    </row>
    <row r="216">
      <c r="H216" s="119"/>
    </row>
    <row r="217">
      <c r="H217" s="119"/>
    </row>
    <row r="218">
      <c r="H218" s="119"/>
    </row>
    <row r="219">
      <c r="H219" s="119"/>
    </row>
    <row r="220">
      <c r="H220" s="119"/>
    </row>
    <row r="221">
      <c r="H221" s="119"/>
    </row>
    <row r="222">
      <c r="H222" s="119"/>
    </row>
    <row r="223">
      <c r="H223" s="119"/>
    </row>
    <row r="224">
      <c r="H224" s="119"/>
    </row>
    <row r="225">
      <c r="H225" s="119"/>
    </row>
    <row r="226">
      <c r="H226" s="119"/>
    </row>
    <row r="227">
      <c r="H227" s="119"/>
    </row>
    <row r="228">
      <c r="H228" s="119"/>
    </row>
    <row r="229">
      <c r="H229" s="119"/>
    </row>
    <row r="230">
      <c r="H230" s="119"/>
    </row>
    <row r="231">
      <c r="H231" s="119"/>
    </row>
    <row r="232">
      <c r="H232" s="119"/>
    </row>
    <row r="233">
      <c r="H233" s="119"/>
    </row>
    <row r="234">
      <c r="H234" s="119"/>
    </row>
    <row r="235">
      <c r="H235" s="119"/>
    </row>
    <row r="236">
      <c r="H236" s="119"/>
    </row>
    <row r="237">
      <c r="H237" s="119"/>
    </row>
    <row r="238">
      <c r="H238" s="119"/>
    </row>
    <row r="239">
      <c r="H239" s="119"/>
    </row>
    <row r="240">
      <c r="H240" s="119"/>
    </row>
    <row r="241">
      <c r="H241" s="119"/>
    </row>
    <row r="242">
      <c r="H242" s="119"/>
    </row>
    <row r="243">
      <c r="H243" s="119"/>
    </row>
    <row r="244">
      <c r="H244" s="119"/>
    </row>
    <row r="245">
      <c r="H245" s="119"/>
    </row>
    <row r="246">
      <c r="H246" s="119"/>
    </row>
    <row r="247">
      <c r="H247" s="119"/>
    </row>
    <row r="248">
      <c r="H248" s="119"/>
    </row>
    <row r="249">
      <c r="H249" s="119"/>
    </row>
    <row r="250">
      <c r="H250" s="119"/>
    </row>
    <row r="251">
      <c r="H251" s="119"/>
    </row>
    <row r="252">
      <c r="H252" s="119"/>
    </row>
    <row r="253">
      <c r="H253" s="119"/>
    </row>
    <row r="254">
      <c r="H254" s="119"/>
    </row>
    <row r="255">
      <c r="H255" s="119"/>
    </row>
    <row r="256">
      <c r="H256" s="119"/>
    </row>
    <row r="257">
      <c r="H257" s="119"/>
    </row>
    <row r="258">
      <c r="H258" s="119"/>
    </row>
    <row r="259">
      <c r="H259" s="119"/>
    </row>
    <row r="260">
      <c r="H260" s="119"/>
    </row>
    <row r="261">
      <c r="H261" s="119"/>
    </row>
    <row r="262">
      <c r="H262" s="119"/>
    </row>
    <row r="263">
      <c r="H263" s="119"/>
    </row>
    <row r="264">
      <c r="H264" s="119"/>
    </row>
    <row r="265">
      <c r="H265" s="119"/>
    </row>
    <row r="266">
      <c r="H266" s="119"/>
    </row>
    <row r="267">
      <c r="H267" s="119"/>
    </row>
    <row r="268">
      <c r="H268" s="119"/>
    </row>
    <row r="269">
      <c r="H269" s="119"/>
    </row>
    <row r="270">
      <c r="H270" s="119"/>
    </row>
    <row r="271">
      <c r="H271" s="119"/>
    </row>
    <row r="272">
      <c r="H272" s="119"/>
    </row>
    <row r="273">
      <c r="H273" s="119"/>
    </row>
    <row r="274">
      <c r="H274" s="119"/>
    </row>
    <row r="275">
      <c r="H275" s="119"/>
    </row>
    <row r="276">
      <c r="H276" s="119"/>
    </row>
    <row r="277">
      <c r="H277" s="119"/>
    </row>
    <row r="278">
      <c r="H278" s="119"/>
    </row>
    <row r="279">
      <c r="H279" s="119"/>
    </row>
    <row r="280">
      <c r="H280" s="119"/>
    </row>
    <row r="281">
      <c r="H281" s="119"/>
    </row>
    <row r="282">
      <c r="H282" s="119"/>
    </row>
    <row r="283">
      <c r="H283" s="119"/>
    </row>
    <row r="284">
      <c r="H284" s="119"/>
    </row>
    <row r="285">
      <c r="H285" s="119"/>
    </row>
    <row r="286">
      <c r="H286" s="119"/>
    </row>
    <row r="287">
      <c r="H287" s="119"/>
    </row>
    <row r="288">
      <c r="H288" s="119"/>
    </row>
    <row r="289">
      <c r="H289" s="119"/>
    </row>
    <row r="290">
      <c r="H290" s="119"/>
    </row>
    <row r="291">
      <c r="H291" s="119"/>
    </row>
    <row r="292">
      <c r="H292" s="119"/>
    </row>
    <row r="293">
      <c r="H293" s="119"/>
    </row>
    <row r="294">
      <c r="H294" s="119"/>
    </row>
    <row r="295">
      <c r="H295" s="119"/>
    </row>
    <row r="296">
      <c r="H296" s="119"/>
    </row>
    <row r="297">
      <c r="H297" s="119"/>
    </row>
    <row r="298">
      <c r="H298" s="119"/>
    </row>
    <row r="299">
      <c r="H299" s="119"/>
    </row>
    <row r="300">
      <c r="H300" s="119"/>
    </row>
    <row r="301">
      <c r="H301" s="119"/>
    </row>
    <row r="302">
      <c r="H302" s="119"/>
    </row>
    <row r="303">
      <c r="H303" s="119"/>
    </row>
    <row r="304">
      <c r="H304" s="119"/>
    </row>
    <row r="305">
      <c r="H305" s="119"/>
    </row>
    <row r="306">
      <c r="H306" s="119"/>
    </row>
    <row r="307">
      <c r="H307" s="119"/>
    </row>
    <row r="308">
      <c r="H308" s="119"/>
    </row>
    <row r="309">
      <c r="H309" s="119"/>
    </row>
    <row r="310">
      <c r="H310" s="119"/>
    </row>
    <row r="311">
      <c r="H311" s="119"/>
    </row>
    <row r="312">
      <c r="H312" s="119"/>
    </row>
    <row r="313">
      <c r="H313" s="119"/>
    </row>
    <row r="314">
      <c r="H314" s="119"/>
    </row>
    <row r="315">
      <c r="H315" s="119"/>
    </row>
    <row r="316">
      <c r="H316" s="119"/>
    </row>
    <row r="317">
      <c r="H317" s="119"/>
    </row>
    <row r="318">
      <c r="H318" s="119"/>
    </row>
    <row r="319">
      <c r="H319" s="119"/>
    </row>
    <row r="320">
      <c r="H320" s="119"/>
    </row>
    <row r="321">
      <c r="H321" s="119"/>
    </row>
    <row r="322">
      <c r="H322" s="119"/>
    </row>
    <row r="323">
      <c r="H323" s="119"/>
    </row>
    <row r="324">
      <c r="H324" s="119"/>
    </row>
    <row r="325">
      <c r="H325" s="119"/>
    </row>
    <row r="326">
      <c r="H326" s="119"/>
    </row>
    <row r="327">
      <c r="H327" s="119"/>
    </row>
    <row r="328">
      <c r="H328" s="119"/>
    </row>
    <row r="329">
      <c r="H329" s="119"/>
    </row>
    <row r="330">
      <c r="H330" s="119"/>
    </row>
    <row r="331">
      <c r="H331" s="119"/>
    </row>
    <row r="332">
      <c r="H332" s="119"/>
    </row>
    <row r="333">
      <c r="H333" s="119"/>
    </row>
    <row r="334">
      <c r="H334" s="119"/>
    </row>
    <row r="335">
      <c r="H335" s="119"/>
    </row>
    <row r="336">
      <c r="H336" s="119"/>
    </row>
    <row r="337">
      <c r="H337" s="119"/>
    </row>
    <row r="338">
      <c r="H338" s="119"/>
    </row>
    <row r="339">
      <c r="H339" s="119"/>
    </row>
    <row r="340">
      <c r="H340" s="119"/>
    </row>
    <row r="341">
      <c r="H341" s="119"/>
    </row>
    <row r="342">
      <c r="H342" s="119"/>
    </row>
    <row r="343">
      <c r="H343" s="119"/>
    </row>
    <row r="344">
      <c r="H344" s="119"/>
    </row>
    <row r="345">
      <c r="H345" s="119"/>
    </row>
    <row r="346">
      <c r="H346" s="119"/>
    </row>
    <row r="347">
      <c r="H347" s="119"/>
    </row>
    <row r="348">
      <c r="H348" s="119"/>
    </row>
    <row r="349">
      <c r="H349" s="119"/>
    </row>
    <row r="350">
      <c r="H350" s="119"/>
    </row>
    <row r="351">
      <c r="H351" s="119"/>
    </row>
    <row r="352">
      <c r="H352" s="119"/>
    </row>
    <row r="353">
      <c r="H353" s="119"/>
    </row>
    <row r="354">
      <c r="H354" s="119"/>
    </row>
    <row r="355">
      <c r="H355" s="119"/>
    </row>
    <row r="356">
      <c r="H356" s="119"/>
    </row>
    <row r="357">
      <c r="H357" s="119"/>
    </row>
    <row r="358">
      <c r="H358" s="119"/>
    </row>
    <row r="359">
      <c r="H359" s="119"/>
    </row>
    <row r="360">
      <c r="H360" s="119"/>
    </row>
    <row r="361">
      <c r="H361" s="119"/>
    </row>
    <row r="362">
      <c r="H362" s="119"/>
    </row>
    <row r="363">
      <c r="H363" s="119"/>
    </row>
    <row r="364">
      <c r="H364" s="119"/>
    </row>
    <row r="365">
      <c r="H365" s="119"/>
    </row>
    <row r="366">
      <c r="H366" s="119"/>
    </row>
    <row r="367">
      <c r="H367" s="119"/>
    </row>
    <row r="368">
      <c r="H368" s="119"/>
    </row>
    <row r="369">
      <c r="H369" s="119"/>
    </row>
    <row r="370">
      <c r="H370" s="119"/>
    </row>
    <row r="371">
      <c r="H371" s="119"/>
    </row>
    <row r="372">
      <c r="H372" s="119"/>
    </row>
    <row r="373">
      <c r="H373" s="119"/>
    </row>
    <row r="374">
      <c r="H374" s="119"/>
    </row>
    <row r="375">
      <c r="H375" s="119"/>
    </row>
    <row r="376">
      <c r="H376" s="119"/>
    </row>
    <row r="377">
      <c r="H377" s="119"/>
    </row>
    <row r="378">
      <c r="H378" s="119"/>
    </row>
    <row r="379">
      <c r="H379" s="119"/>
    </row>
    <row r="380">
      <c r="H380" s="119"/>
    </row>
    <row r="381">
      <c r="H381" s="119"/>
    </row>
    <row r="382">
      <c r="H382" s="119"/>
    </row>
    <row r="383">
      <c r="H383" s="119"/>
    </row>
    <row r="384">
      <c r="H384" s="119"/>
    </row>
    <row r="385">
      <c r="H385" s="119"/>
    </row>
    <row r="386">
      <c r="H386" s="119"/>
    </row>
    <row r="387">
      <c r="H387" s="119"/>
    </row>
    <row r="388">
      <c r="H388" s="119"/>
    </row>
    <row r="389">
      <c r="H389" s="119"/>
    </row>
    <row r="390">
      <c r="H390" s="119"/>
    </row>
    <row r="391">
      <c r="H391" s="119"/>
    </row>
    <row r="392">
      <c r="H392" s="119"/>
    </row>
    <row r="393">
      <c r="H393" s="119"/>
    </row>
    <row r="394">
      <c r="H394" s="119"/>
    </row>
    <row r="395">
      <c r="H395" s="119"/>
    </row>
    <row r="396">
      <c r="H396" s="119"/>
    </row>
    <row r="397">
      <c r="H397" s="119"/>
    </row>
    <row r="398">
      <c r="H398" s="119"/>
    </row>
    <row r="399">
      <c r="H399" s="119"/>
    </row>
    <row r="400">
      <c r="H400" s="119"/>
    </row>
    <row r="401">
      <c r="H401" s="119"/>
    </row>
    <row r="402">
      <c r="H402" s="119"/>
    </row>
    <row r="403">
      <c r="H403" s="119"/>
    </row>
    <row r="404">
      <c r="H404" s="119"/>
    </row>
    <row r="405">
      <c r="H405" s="119"/>
    </row>
    <row r="406">
      <c r="H406" s="119"/>
    </row>
    <row r="407">
      <c r="H407" s="119"/>
    </row>
    <row r="408">
      <c r="H408" s="119"/>
    </row>
    <row r="409">
      <c r="H409" s="119"/>
    </row>
    <row r="410">
      <c r="H410" s="119"/>
    </row>
    <row r="411">
      <c r="H411" s="119"/>
    </row>
    <row r="412">
      <c r="H412" s="119"/>
    </row>
    <row r="413">
      <c r="H413" s="119"/>
    </row>
    <row r="414">
      <c r="H414" s="119"/>
    </row>
    <row r="415">
      <c r="H415" s="119"/>
    </row>
    <row r="416">
      <c r="H416" s="119"/>
    </row>
    <row r="417">
      <c r="H417" s="119"/>
    </row>
    <row r="418">
      <c r="H418" s="119"/>
    </row>
    <row r="419">
      <c r="H419" s="119"/>
    </row>
    <row r="420">
      <c r="H420" s="119"/>
    </row>
    <row r="421">
      <c r="H421" s="119"/>
    </row>
    <row r="422">
      <c r="H422" s="119"/>
    </row>
    <row r="423">
      <c r="H423" s="119"/>
    </row>
    <row r="424">
      <c r="H424" s="119"/>
    </row>
    <row r="425">
      <c r="H425" s="119"/>
    </row>
    <row r="426">
      <c r="H426" s="119"/>
    </row>
    <row r="427">
      <c r="H427" s="119"/>
    </row>
    <row r="428">
      <c r="H428" s="119"/>
    </row>
    <row r="429">
      <c r="H429" s="119"/>
    </row>
    <row r="430">
      <c r="H430" s="119"/>
    </row>
    <row r="431">
      <c r="H431" s="119"/>
    </row>
    <row r="432">
      <c r="H432" s="119"/>
    </row>
    <row r="433">
      <c r="H433" s="119"/>
    </row>
    <row r="434">
      <c r="H434" s="119"/>
    </row>
    <row r="435">
      <c r="H435" s="119"/>
    </row>
    <row r="436">
      <c r="H436" s="119"/>
    </row>
    <row r="437">
      <c r="H437" s="119"/>
    </row>
    <row r="438">
      <c r="H438" s="119"/>
    </row>
    <row r="439">
      <c r="H439" s="119"/>
    </row>
    <row r="440">
      <c r="H440" s="119"/>
    </row>
    <row r="441">
      <c r="H441" s="119"/>
    </row>
    <row r="442">
      <c r="H442" s="119"/>
    </row>
    <row r="443">
      <c r="H443" s="119"/>
    </row>
    <row r="444">
      <c r="H444" s="119"/>
    </row>
    <row r="445">
      <c r="H445" s="119"/>
    </row>
    <row r="446">
      <c r="H446" s="119"/>
    </row>
    <row r="447">
      <c r="H447" s="119"/>
    </row>
    <row r="448">
      <c r="H448" s="119"/>
    </row>
    <row r="449">
      <c r="H449" s="119"/>
    </row>
    <row r="450">
      <c r="H450" s="119"/>
    </row>
    <row r="451">
      <c r="H451" s="119"/>
    </row>
    <row r="452">
      <c r="H452" s="119"/>
    </row>
    <row r="453">
      <c r="H453" s="119"/>
    </row>
    <row r="454">
      <c r="H454" s="119"/>
    </row>
    <row r="455">
      <c r="H455" s="119"/>
    </row>
    <row r="456">
      <c r="H456" s="119"/>
    </row>
    <row r="457">
      <c r="H457" s="119"/>
    </row>
    <row r="458">
      <c r="H458" s="119"/>
    </row>
    <row r="459">
      <c r="H459" s="119"/>
    </row>
    <row r="460">
      <c r="H460" s="119"/>
    </row>
    <row r="461">
      <c r="H461" s="119"/>
    </row>
    <row r="462">
      <c r="H462" s="119"/>
    </row>
    <row r="463">
      <c r="H463" s="119"/>
    </row>
    <row r="464">
      <c r="H464" s="119"/>
    </row>
    <row r="465">
      <c r="H465" s="119"/>
    </row>
    <row r="466">
      <c r="H466" s="119"/>
    </row>
    <row r="467">
      <c r="H467" s="119"/>
    </row>
    <row r="468">
      <c r="H468" s="119"/>
    </row>
    <row r="469">
      <c r="H469" s="119"/>
    </row>
    <row r="470">
      <c r="H470" s="119"/>
    </row>
    <row r="471">
      <c r="H471" s="119"/>
    </row>
    <row r="472">
      <c r="H472" s="119"/>
    </row>
    <row r="473">
      <c r="H473" s="119"/>
    </row>
    <row r="474">
      <c r="H474" s="119"/>
    </row>
    <row r="475">
      <c r="H475" s="119"/>
    </row>
    <row r="476">
      <c r="H476" s="119"/>
    </row>
    <row r="477">
      <c r="H477" s="119"/>
    </row>
    <row r="478">
      <c r="H478" s="119"/>
    </row>
    <row r="479">
      <c r="H479" s="119"/>
    </row>
    <row r="480">
      <c r="H480" s="119"/>
    </row>
    <row r="481">
      <c r="H481" s="119"/>
    </row>
    <row r="482">
      <c r="H482" s="119"/>
    </row>
    <row r="483">
      <c r="H483" s="119"/>
    </row>
    <row r="484">
      <c r="H484" s="119"/>
    </row>
    <row r="485">
      <c r="H485" s="119"/>
    </row>
    <row r="486">
      <c r="H486" s="119"/>
    </row>
    <row r="487">
      <c r="H487" s="119"/>
    </row>
    <row r="488">
      <c r="H488" s="119"/>
    </row>
    <row r="489">
      <c r="H489" s="119"/>
    </row>
    <row r="490">
      <c r="H490" s="119"/>
    </row>
    <row r="491">
      <c r="H491" s="119"/>
    </row>
    <row r="492">
      <c r="H492" s="119"/>
    </row>
    <row r="493">
      <c r="H493" s="119"/>
    </row>
    <row r="494">
      <c r="H494" s="119"/>
    </row>
    <row r="495">
      <c r="H495" s="119"/>
    </row>
    <row r="496">
      <c r="H496" s="119"/>
    </row>
    <row r="497">
      <c r="H497" s="119"/>
    </row>
    <row r="498">
      <c r="H498" s="119"/>
    </row>
    <row r="499">
      <c r="H499" s="119"/>
    </row>
    <row r="500">
      <c r="H500" s="119"/>
    </row>
    <row r="501">
      <c r="H501" s="119"/>
    </row>
    <row r="502">
      <c r="H502" s="119"/>
    </row>
    <row r="503">
      <c r="H503" s="119"/>
    </row>
    <row r="504">
      <c r="H504" s="119"/>
    </row>
    <row r="505">
      <c r="H505" s="119"/>
    </row>
    <row r="506">
      <c r="H506" s="119"/>
    </row>
    <row r="507">
      <c r="H507" s="119"/>
    </row>
    <row r="508">
      <c r="H508" s="119"/>
    </row>
    <row r="509">
      <c r="H509" s="119"/>
    </row>
    <row r="510">
      <c r="H510" s="119"/>
    </row>
    <row r="511">
      <c r="H511" s="119"/>
    </row>
    <row r="512">
      <c r="H512" s="119"/>
    </row>
    <row r="513">
      <c r="H513" s="119"/>
    </row>
    <row r="514">
      <c r="H514" s="119"/>
    </row>
    <row r="515">
      <c r="H515" s="119"/>
    </row>
    <row r="516">
      <c r="H516" s="119"/>
    </row>
    <row r="517">
      <c r="H517" s="119"/>
    </row>
    <row r="518">
      <c r="H518" s="119"/>
    </row>
    <row r="519">
      <c r="H519" s="119"/>
    </row>
    <row r="520">
      <c r="H520" s="119"/>
    </row>
    <row r="521">
      <c r="H521" s="119"/>
    </row>
    <row r="522">
      <c r="H522" s="119"/>
    </row>
    <row r="523">
      <c r="H523" s="119"/>
    </row>
    <row r="524">
      <c r="H524" s="119"/>
    </row>
    <row r="525">
      <c r="H525" s="119"/>
    </row>
    <row r="526">
      <c r="H526" s="119"/>
    </row>
    <row r="527">
      <c r="H527" s="119"/>
    </row>
    <row r="528">
      <c r="H528" s="119"/>
    </row>
    <row r="529">
      <c r="H529" s="119"/>
    </row>
    <row r="530">
      <c r="H530" s="119"/>
    </row>
    <row r="531">
      <c r="H531" s="119"/>
    </row>
    <row r="532">
      <c r="H532" s="119"/>
    </row>
    <row r="533">
      <c r="H533" s="119"/>
    </row>
    <row r="534">
      <c r="H534" s="119"/>
    </row>
    <row r="535">
      <c r="H535" s="119"/>
    </row>
    <row r="536">
      <c r="H536" s="119"/>
    </row>
    <row r="537">
      <c r="H537" s="119"/>
    </row>
    <row r="538">
      <c r="H538" s="119"/>
    </row>
    <row r="539">
      <c r="H539" s="119"/>
    </row>
    <row r="540">
      <c r="H540" s="119"/>
    </row>
    <row r="541">
      <c r="H541" s="119"/>
    </row>
    <row r="542">
      <c r="H542" s="119"/>
    </row>
    <row r="543">
      <c r="H543" s="119"/>
    </row>
    <row r="544">
      <c r="H544" s="119"/>
    </row>
    <row r="545">
      <c r="H545" s="119"/>
    </row>
    <row r="546">
      <c r="H546" s="119"/>
    </row>
    <row r="547">
      <c r="H547" s="119"/>
    </row>
    <row r="548">
      <c r="H548" s="119"/>
    </row>
    <row r="549">
      <c r="H549" s="119"/>
    </row>
    <row r="550">
      <c r="H550" s="119"/>
    </row>
    <row r="551">
      <c r="H551" s="119"/>
    </row>
    <row r="552">
      <c r="H552" s="119"/>
    </row>
    <row r="553">
      <c r="H553" s="119"/>
    </row>
    <row r="554">
      <c r="H554" s="119"/>
    </row>
    <row r="555">
      <c r="H555" s="119"/>
    </row>
    <row r="556">
      <c r="H556" s="119"/>
    </row>
    <row r="557">
      <c r="H557" s="119"/>
    </row>
    <row r="558">
      <c r="H558" s="119"/>
    </row>
    <row r="559">
      <c r="H559" s="119"/>
    </row>
    <row r="560">
      <c r="H560" s="119"/>
    </row>
    <row r="561">
      <c r="H561" s="119"/>
    </row>
    <row r="562">
      <c r="H562" s="119"/>
    </row>
    <row r="563">
      <c r="H563" s="119"/>
    </row>
    <row r="564">
      <c r="H564" s="119"/>
    </row>
    <row r="565">
      <c r="H565" s="119"/>
    </row>
    <row r="566">
      <c r="H566" s="119"/>
    </row>
    <row r="567">
      <c r="H567" s="119"/>
    </row>
    <row r="568">
      <c r="H568" s="119"/>
    </row>
    <row r="569">
      <c r="H569" s="119"/>
    </row>
    <row r="570">
      <c r="H570" s="119"/>
    </row>
    <row r="571">
      <c r="H571" s="119"/>
    </row>
    <row r="572">
      <c r="H572" s="119"/>
    </row>
    <row r="573">
      <c r="H573" s="119"/>
    </row>
    <row r="574">
      <c r="H574" s="119"/>
    </row>
    <row r="575">
      <c r="H575" s="119"/>
    </row>
    <row r="576">
      <c r="H576" s="119"/>
    </row>
    <row r="577">
      <c r="H577" s="119"/>
    </row>
    <row r="578">
      <c r="H578" s="119"/>
    </row>
    <row r="579">
      <c r="H579" s="119"/>
    </row>
    <row r="580">
      <c r="H580" s="119"/>
    </row>
    <row r="581">
      <c r="H581" s="119"/>
    </row>
    <row r="582">
      <c r="H582" s="119"/>
    </row>
    <row r="583">
      <c r="H583" s="119"/>
    </row>
    <row r="584">
      <c r="H584" s="119"/>
    </row>
    <row r="585">
      <c r="H585" s="119"/>
    </row>
    <row r="586">
      <c r="H586" s="119"/>
    </row>
    <row r="587">
      <c r="H587" s="119"/>
    </row>
    <row r="588">
      <c r="H588" s="119"/>
    </row>
    <row r="589">
      <c r="H589" s="119"/>
    </row>
    <row r="590">
      <c r="H590" s="119"/>
    </row>
    <row r="591">
      <c r="H591" s="119"/>
    </row>
    <row r="592">
      <c r="H592" s="119"/>
    </row>
    <row r="593">
      <c r="H593" s="119"/>
    </row>
    <row r="594">
      <c r="H594" s="119"/>
    </row>
    <row r="595">
      <c r="H595" s="119"/>
    </row>
    <row r="596">
      <c r="H596" s="119"/>
    </row>
    <row r="597">
      <c r="H597" s="119"/>
    </row>
    <row r="598">
      <c r="H598" s="119"/>
    </row>
    <row r="599">
      <c r="H599" s="119"/>
    </row>
    <row r="600">
      <c r="H600" s="119"/>
    </row>
    <row r="601">
      <c r="H601" s="119"/>
    </row>
    <row r="602">
      <c r="H602" s="119"/>
    </row>
    <row r="603">
      <c r="H603" s="119"/>
    </row>
    <row r="604">
      <c r="H604" s="119"/>
    </row>
    <row r="605">
      <c r="H605" s="119"/>
    </row>
    <row r="606">
      <c r="H606" s="119"/>
    </row>
    <row r="607">
      <c r="H607" s="119"/>
    </row>
    <row r="608">
      <c r="H608" s="119"/>
    </row>
    <row r="609">
      <c r="H609" s="119"/>
    </row>
    <row r="610">
      <c r="H610" s="119"/>
    </row>
    <row r="611">
      <c r="H611" s="119"/>
    </row>
    <row r="612">
      <c r="H612" s="119"/>
    </row>
    <row r="613">
      <c r="H613" s="119"/>
    </row>
    <row r="614">
      <c r="H614" s="119"/>
    </row>
    <row r="615">
      <c r="H615" s="119"/>
    </row>
    <row r="616">
      <c r="H616" s="119"/>
    </row>
    <row r="617">
      <c r="H617" s="119"/>
    </row>
    <row r="618">
      <c r="H618" s="119"/>
    </row>
    <row r="619">
      <c r="H619" s="119"/>
    </row>
    <row r="620">
      <c r="H620" s="119"/>
    </row>
    <row r="621">
      <c r="H621" s="119"/>
    </row>
    <row r="622">
      <c r="H622" s="119"/>
    </row>
    <row r="623">
      <c r="H623" s="119"/>
    </row>
    <row r="624">
      <c r="H624" s="119"/>
    </row>
    <row r="625">
      <c r="H625" s="119"/>
    </row>
    <row r="626">
      <c r="H626" s="119"/>
    </row>
    <row r="627">
      <c r="H627" s="119"/>
    </row>
    <row r="628">
      <c r="H628" s="119"/>
    </row>
    <row r="629">
      <c r="H629" s="119"/>
    </row>
    <row r="630">
      <c r="H630" s="119"/>
    </row>
    <row r="631">
      <c r="H631" s="119"/>
    </row>
    <row r="632">
      <c r="H632" s="119"/>
    </row>
    <row r="633">
      <c r="H633" s="119"/>
    </row>
    <row r="634">
      <c r="H634" s="119"/>
    </row>
    <row r="635">
      <c r="H635" s="119"/>
    </row>
    <row r="636">
      <c r="H636" s="119"/>
    </row>
    <row r="637">
      <c r="H637" s="119"/>
    </row>
    <row r="638">
      <c r="H638" s="119"/>
    </row>
    <row r="639">
      <c r="H639" s="119"/>
    </row>
    <row r="640">
      <c r="H640" s="119"/>
    </row>
    <row r="641">
      <c r="H641" s="119"/>
    </row>
    <row r="642">
      <c r="H642" s="119"/>
    </row>
    <row r="643">
      <c r="H643" s="119"/>
    </row>
    <row r="644">
      <c r="H644" s="119"/>
    </row>
    <row r="645">
      <c r="H645" s="119"/>
    </row>
    <row r="646">
      <c r="H646" s="119"/>
    </row>
    <row r="647">
      <c r="H647" s="119"/>
    </row>
    <row r="648">
      <c r="H648" s="119"/>
    </row>
    <row r="649">
      <c r="H649" s="119"/>
    </row>
    <row r="650">
      <c r="H650" s="119"/>
    </row>
    <row r="651">
      <c r="H651" s="119"/>
    </row>
    <row r="652">
      <c r="H652" s="119"/>
    </row>
    <row r="653">
      <c r="H653" s="119"/>
    </row>
    <row r="654">
      <c r="H654" s="119"/>
    </row>
    <row r="655">
      <c r="H655" s="119"/>
    </row>
    <row r="656">
      <c r="H656" s="119"/>
    </row>
    <row r="657">
      <c r="H657" s="119"/>
    </row>
    <row r="658">
      <c r="H658" s="119"/>
    </row>
    <row r="659">
      <c r="H659" s="119"/>
    </row>
    <row r="660">
      <c r="H660" s="119"/>
    </row>
    <row r="661">
      <c r="H661" s="119"/>
    </row>
    <row r="662">
      <c r="H662" s="119"/>
    </row>
    <row r="663">
      <c r="H663" s="119"/>
    </row>
    <row r="664">
      <c r="H664" s="119"/>
    </row>
    <row r="665">
      <c r="H665" s="119"/>
    </row>
    <row r="666">
      <c r="H666" s="119"/>
    </row>
    <row r="667">
      <c r="H667" s="119"/>
    </row>
    <row r="668">
      <c r="H668" s="119"/>
    </row>
    <row r="669">
      <c r="H669" s="119"/>
    </row>
    <row r="670">
      <c r="H670" s="119"/>
    </row>
    <row r="671">
      <c r="H671" s="119"/>
    </row>
    <row r="672">
      <c r="H672" s="119"/>
    </row>
    <row r="673">
      <c r="H673" s="119"/>
    </row>
    <row r="674">
      <c r="H674" s="119"/>
    </row>
    <row r="675">
      <c r="H675" s="119"/>
    </row>
    <row r="676">
      <c r="H676" s="119"/>
    </row>
    <row r="677">
      <c r="H677" s="119"/>
    </row>
    <row r="678">
      <c r="H678" s="119"/>
    </row>
    <row r="679">
      <c r="H679" s="119"/>
    </row>
    <row r="680">
      <c r="H680" s="119"/>
    </row>
    <row r="681">
      <c r="H681" s="119"/>
    </row>
    <row r="682">
      <c r="H682" s="119"/>
    </row>
    <row r="683">
      <c r="H683" s="119"/>
    </row>
    <row r="684">
      <c r="H684" s="119"/>
    </row>
    <row r="685">
      <c r="H685" s="119"/>
    </row>
    <row r="686">
      <c r="H686" s="119"/>
    </row>
    <row r="687">
      <c r="H687" s="119"/>
    </row>
    <row r="688">
      <c r="H688" s="119"/>
    </row>
    <row r="689">
      <c r="H689" s="119"/>
    </row>
    <row r="690">
      <c r="H690" s="119"/>
    </row>
    <row r="691">
      <c r="H691" s="119"/>
    </row>
    <row r="692">
      <c r="H692" s="119"/>
    </row>
    <row r="693">
      <c r="H693" s="119"/>
    </row>
    <row r="694">
      <c r="H694" s="119"/>
    </row>
    <row r="695">
      <c r="H695" s="119"/>
    </row>
    <row r="696">
      <c r="H696" s="119"/>
    </row>
    <row r="697">
      <c r="H697" s="119"/>
    </row>
    <row r="698">
      <c r="H698" s="119"/>
    </row>
    <row r="699">
      <c r="H699" s="119"/>
    </row>
    <row r="700">
      <c r="H700" s="119"/>
    </row>
    <row r="701">
      <c r="H701" s="119"/>
    </row>
    <row r="702">
      <c r="H702" s="119"/>
    </row>
    <row r="703">
      <c r="H703" s="119"/>
    </row>
    <row r="704">
      <c r="H704" s="119"/>
    </row>
    <row r="705">
      <c r="H705" s="119"/>
    </row>
    <row r="706">
      <c r="H706" s="119"/>
    </row>
    <row r="707">
      <c r="H707" s="119"/>
    </row>
    <row r="708">
      <c r="H708" s="119"/>
    </row>
    <row r="709">
      <c r="H709" s="119"/>
    </row>
    <row r="710">
      <c r="H710" s="119"/>
    </row>
    <row r="711">
      <c r="H711" s="119"/>
    </row>
    <row r="712">
      <c r="H712" s="119"/>
    </row>
    <row r="713">
      <c r="H713" s="119"/>
    </row>
    <row r="714">
      <c r="H714" s="119"/>
    </row>
    <row r="715">
      <c r="H715" s="119"/>
    </row>
    <row r="716">
      <c r="H716" s="119"/>
    </row>
    <row r="717">
      <c r="H717" s="119"/>
    </row>
    <row r="718">
      <c r="H718" s="119"/>
    </row>
    <row r="719">
      <c r="H719" s="119"/>
    </row>
    <row r="720">
      <c r="H720" s="119"/>
    </row>
    <row r="721">
      <c r="H721" s="119"/>
    </row>
    <row r="722">
      <c r="H722" s="119"/>
    </row>
    <row r="723">
      <c r="H723" s="119"/>
    </row>
    <row r="724">
      <c r="H724" s="119"/>
    </row>
    <row r="725">
      <c r="H725" s="119"/>
    </row>
    <row r="726">
      <c r="H726" s="119"/>
    </row>
    <row r="727">
      <c r="H727" s="119"/>
    </row>
    <row r="728">
      <c r="H728" s="119"/>
    </row>
    <row r="729">
      <c r="H729" s="119"/>
    </row>
    <row r="730">
      <c r="H730" s="119"/>
    </row>
    <row r="731">
      <c r="H731" s="119"/>
    </row>
    <row r="732">
      <c r="H732" s="119"/>
    </row>
    <row r="733">
      <c r="H733" s="119"/>
    </row>
    <row r="734">
      <c r="H734" s="119"/>
    </row>
    <row r="735">
      <c r="H735" s="119"/>
    </row>
    <row r="736">
      <c r="H736" s="119"/>
    </row>
    <row r="737">
      <c r="H737" s="119"/>
    </row>
    <row r="738">
      <c r="H738" s="119"/>
    </row>
    <row r="739">
      <c r="H739" s="119"/>
    </row>
    <row r="740">
      <c r="H740" s="119"/>
    </row>
    <row r="741">
      <c r="H741" s="119"/>
    </row>
    <row r="742">
      <c r="H742" s="119"/>
    </row>
    <row r="743">
      <c r="H743" s="119"/>
    </row>
    <row r="744">
      <c r="H744" s="119"/>
    </row>
    <row r="745">
      <c r="H745" s="119"/>
    </row>
    <row r="746">
      <c r="H746" s="119"/>
    </row>
    <row r="747">
      <c r="H747" s="119"/>
    </row>
    <row r="748">
      <c r="H748" s="119"/>
    </row>
    <row r="749">
      <c r="H749" s="119"/>
    </row>
    <row r="750">
      <c r="H750" s="119"/>
    </row>
    <row r="751">
      <c r="H751" s="119"/>
    </row>
    <row r="752">
      <c r="H752" s="119"/>
    </row>
    <row r="753">
      <c r="H753" s="119"/>
    </row>
    <row r="754">
      <c r="H754" s="119"/>
    </row>
    <row r="755">
      <c r="H755" s="119"/>
    </row>
    <row r="756">
      <c r="H756" s="119"/>
    </row>
    <row r="757">
      <c r="H757" s="119"/>
    </row>
    <row r="758">
      <c r="H758" s="119"/>
    </row>
    <row r="759">
      <c r="H759" s="119"/>
    </row>
    <row r="760">
      <c r="H760" s="119"/>
    </row>
    <row r="761">
      <c r="H761" s="119"/>
    </row>
    <row r="762">
      <c r="H762" s="119"/>
    </row>
    <row r="763">
      <c r="H763" s="119"/>
    </row>
    <row r="764">
      <c r="H764" s="119"/>
    </row>
    <row r="765">
      <c r="H765" s="119"/>
    </row>
    <row r="766">
      <c r="H766" s="119"/>
    </row>
    <row r="767">
      <c r="H767" s="119"/>
    </row>
    <row r="768">
      <c r="H768" s="119"/>
    </row>
    <row r="769">
      <c r="H769" s="119"/>
    </row>
    <row r="770">
      <c r="H770" s="119"/>
    </row>
    <row r="771">
      <c r="H771" s="119"/>
    </row>
    <row r="772">
      <c r="H772" s="119"/>
    </row>
    <row r="773">
      <c r="H773" s="119"/>
    </row>
    <row r="774">
      <c r="H774" s="119"/>
    </row>
    <row r="775">
      <c r="H775" s="119"/>
    </row>
    <row r="776">
      <c r="H776" s="119"/>
    </row>
    <row r="777">
      <c r="H777" s="119"/>
    </row>
    <row r="778">
      <c r="H778" s="119"/>
    </row>
    <row r="779">
      <c r="H779" s="119"/>
    </row>
    <row r="780">
      <c r="H780" s="119"/>
    </row>
    <row r="781">
      <c r="H781" s="119"/>
    </row>
    <row r="782">
      <c r="H782" s="119"/>
    </row>
    <row r="783">
      <c r="H783" s="119"/>
    </row>
    <row r="784">
      <c r="H784" s="119"/>
    </row>
    <row r="785">
      <c r="H785" s="119"/>
    </row>
    <row r="786">
      <c r="H786" s="119"/>
    </row>
    <row r="787">
      <c r="H787" s="119"/>
    </row>
    <row r="788">
      <c r="H788" s="119"/>
    </row>
    <row r="789">
      <c r="H789" s="119"/>
    </row>
    <row r="790">
      <c r="H790" s="119"/>
    </row>
    <row r="791">
      <c r="H791" s="119"/>
    </row>
    <row r="792">
      <c r="H792" s="119"/>
    </row>
    <row r="793">
      <c r="H793" s="119"/>
    </row>
    <row r="794">
      <c r="H794" s="119"/>
    </row>
    <row r="795">
      <c r="H795" s="119"/>
    </row>
    <row r="796">
      <c r="H796" s="119"/>
    </row>
    <row r="797">
      <c r="H797" s="119"/>
    </row>
    <row r="798">
      <c r="H798" s="119"/>
    </row>
    <row r="799">
      <c r="H799" s="119"/>
    </row>
    <row r="800">
      <c r="H800" s="119"/>
    </row>
    <row r="801">
      <c r="H801" s="119"/>
    </row>
    <row r="802">
      <c r="H802" s="119"/>
    </row>
    <row r="803">
      <c r="H803" s="119"/>
    </row>
    <row r="804">
      <c r="H804" s="119"/>
    </row>
    <row r="805">
      <c r="H805" s="119"/>
    </row>
    <row r="806">
      <c r="H806" s="119"/>
    </row>
    <row r="807">
      <c r="H807" s="119"/>
    </row>
    <row r="808">
      <c r="H808" s="119"/>
    </row>
    <row r="809">
      <c r="H809" s="119"/>
    </row>
    <row r="810">
      <c r="H810" s="119"/>
    </row>
    <row r="811">
      <c r="H811" s="119"/>
    </row>
    <row r="812">
      <c r="H812" s="119"/>
    </row>
    <row r="813">
      <c r="H813" s="119"/>
    </row>
    <row r="814">
      <c r="H814" s="119"/>
    </row>
    <row r="815">
      <c r="H815" s="119"/>
    </row>
    <row r="816">
      <c r="H816" s="119"/>
    </row>
    <row r="817">
      <c r="H817" s="119"/>
    </row>
    <row r="818">
      <c r="H818" s="119"/>
    </row>
    <row r="819">
      <c r="H819" s="119"/>
    </row>
    <row r="820">
      <c r="H820" s="119"/>
    </row>
    <row r="821">
      <c r="H821" s="119"/>
    </row>
    <row r="822">
      <c r="H822" s="119"/>
    </row>
    <row r="823">
      <c r="H823" s="119"/>
    </row>
    <row r="824">
      <c r="H824" s="119"/>
    </row>
    <row r="825">
      <c r="H825" s="119"/>
    </row>
    <row r="826">
      <c r="H826" s="119"/>
    </row>
    <row r="827">
      <c r="H827" s="119"/>
    </row>
    <row r="828">
      <c r="H828" s="119"/>
    </row>
    <row r="829">
      <c r="H829" s="119"/>
    </row>
    <row r="830">
      <c r="H830" s="119"/>
    </row>
    <row r="831">
      <c r="H831" s="119"/>
    </row>
    <row r="832">
      <c r="H832" s="119"/>
    </row>
    <row r="833">
      <c r="H833" s="119"/>
    </row>
    <row r="834">
      <c r="H834" s="119"/>
    </row>
    <row r="835">
      <c r="H835" s="119"/>
    </row>
    <row r="836">
      <c r="H836" s="119"/>
    </row>
    <row r="837">
      <c r="H837" s="119"/>
    </row>
    <row r="838">
      <c r="H838" s="119"/>
    </row>
    <row r="839">
      <c r="H839" s="119"/>
    </row>
    <row r="840">
      <c r="H840" s="119"/>
    </row>
    <row r="841">
      <c r="H841" s="119"/>
    </row>
    <row r="842">
      <c r="H842" s="119"/>
    </row>
    <row r="843">
      <c r="H843" s="119"/>
    </row>
    <row r="844">
      <c r="H844" s="119"/>
    </row>
    <row r="845">
      <c r="H845" s="119"/>
    </row>
    <row r="846">
      <c r="H846" s="119"/>
    </row>
    <row r="847">
      <c r="H847" s="119"/>
    </row>
    <row r="848">
      <c r="H848" s="119"/>
    </row>
    <row r="849">
      <c r="H849" s="119"/>
    </row>
    <row r="850">
      <c r="H850" s="119"/>
    </row>
    <row r="851">
      <c r="H851" s="119"/>
    </row>
    <row r="852">
      <c r="H852" s="119"/>
    </row>
    <row r="853">
      <c r="H853" s="119"/>
    </row>
    <row r="854">
      <c r="H854" s="119"/>
    </row>
    <row r="855">
      <c r="H855" s="119"/>
    </row>
    <row r="856">
      <c r="H856" s="119"/>
    </row>
    <row r="857">
      <c r="H857" s="119"/>
    </row>
    <row r="858">
      <c r="H858" s="119"/>
    </row>
    <row r="859">
      <c r="H859" s="119"/>
    </row>
    <row r="860">
      <c r="H860" s="119"/>
    </row>
    <row r="861">
      <c r="H861" s="119"/>
    </row>
    <row r="862">
      <c r="H862" s="119"/>
    </row>
    <row r="863">
      <c r="H863" s="119"/>
    </row>
    <row r="864">
      <c r="H864" s="119"/>
    </row>
    <row r="865">
      <c r="H865" s="119"/>
    </row>
    <row r="866">
      <c r="H866" s="119"/>
    </row>
    <row r="867">
      <c r="H867" s="119"/>
    </row>
    <row r="868">
      <c r="H868" s="119"/>
    </row>
    <row r="869">
      <c r="H869" s="119"/>
    </row>
    <row r="870">
      <c r="H870" s="119"/>
    </row>
    <row r="871">
      <c r="H871" s="119"/>
    </row>
    <row r="872">
      <c r="H872" s="119"/>
    </row>
    <row r="873">
      <c r="H873" s="119"/>
    </row>
    <row r="874">
      <c r="H874" s="119"/>
    </row>
    <row r="875">
      <c r="H875" s="119"/>
    </row>
    <row r="876">
      <c r="H876" s="119"/>
    </row>
    <row r="877">
      <c r="H877" s="119"/>
    </row>
    <row r="878">
      <c r="H878" s="119"/>
    </row>
    <row r="879">
      <c r="H879" s="119"/>
    </row>
    <row r="880">
      <c r="H880" s="119"/>
    </row>
    <row r="881">
      <c r="H881" s="119"/>
    </row>
    <row r="882">
      <c r="H882" s="119"/>
    </row>
    <row r="883">
      <c r="H883" s="119"/>
    </row>
    <row r="884">
      <c r="H884" s="119"/>
    </row>
    <row r="885">
      <c r="H885" s="119"/>
    </row>
    <row r="886">
      <c r="H886" s="119"/>
    </row>
    <row r="887">
      <c r="H887" s="119"/>
    </row>
    <row r="888">
      <c r="H888" s="119"/>
    </row>
    <row r="889">
      <c r="H889" s="119"/>
    </row>
    <row r="890">
      <c r="H890" s="119"/>
    </row>
    <row r="891">
      <c r="H891" s="119"/>
    </row>
    <row r="892">
      <c r="H892" s="119"/>
    </row>
    <row r="893">
      <c r="H893" s="119"/>
    </row>
    <row r="894">
      <c r="H894" s="119"/>
    </row>
    <row r="895">
      <c r="H895" s="119"/>
    </row>
    <row r="896">
      <c r="H896" s="119"/>
    </row>
    <row r="897">
      <c r="H897" s="119"/>
    </row>
    <row r="898">
      <c r="H898" s="119"/>
    </row>
    <row r="899">
      <c r="H899" s="119"/>
    </row>
    <row r="900">
      <c r="H900" s="119"/>
    </row>
    <row r="901">
      <c r="H901" s="119"/>
    </row>
    <row r="902">
      <c r="H902" s="119"/>
    </row>
    <row r="903">
      <c r="H903" s="119"/>
    </row>
    <row r="904">
      <c r="H904" s="119"/>
    </row>
    <row r="905">
      <c r="H905" s="119"/>
    </row>
    <row r="906">
      <c r="H906" s="119"/>
    </row>
    <row r="907">
      <c r="H907" s="119"/>
    </row>
    <row r="908">
      <c r="H908" s="119"/>
    </row>
    <row r="909">
      <c r="H909" s="119"/>
    </row>
    <row r="910">
      <c r="H910" s="119"/>
    </row>
    <row r="911">
      <c r="H911" s="119"/>
    </row>
    <row r="912">
      <c r="H912" s="119"/>
    </row>
    <row r="913">
      <c r="H913" s="119"/>
    </row>
    <row r="914">
      <c r="H914" s="119"/>
    </row>
    <row r="915">
      <c r="H915" s="119"/>
    </row>
    <row r="916">
      <c r="H916" s="119"/>
    </row>
    <row r="917">
      <c r="H917" s="119"/>
    </row>
    <row r="918">
      <c r="H918" s="119"/>
    </row>
    <row r="919">
      <c r="H919" s="119"/>
    </row>
    <row r="920">
      <c r="H920" s="119"/>
    </row>
    <row r="921">
      <c r="H921" s="119"/>
    </row>
    <row r="922">
      <c r="H922" s="119"/>
    </row>
    <row r="923">
      <c r="H923" s="119"/>
    </row>
    <row r="924">
      <c r="H924" s="119"/>
    </row>
    <row r="925">
      <c r="H925" s="119"/>
    </row>
    <row r="926">
      <c r="H926" s="119"/>
    </row>
    <row r="927">
      <c r="H927" s="119"/>
    </row>
    <row r="928">
      <c r="H928" s="119"/>
    </row>
    <row r="929">
      <c r="H929" s="119"/>
    </row>
    <row r="930">
      <c r="H930" s="119"/>
    </row>
    <row r="931">
      <c r="H931" s="119"/>
    </row>
    <row r="932">
      <c r="H932" s="119"/>
    </row>
    <row r="933">
      <c r="H933" s="119"/>
    </row>
    <row r="934">
      <c r="H934" s="119"/>
    </row>
    <row r="935">
      <c r="H935" s="119"/>
    </row>
    <row r="936">
      <c r="H936" s="119"/>
    </row>
    <row r="937">
      <c r="H937" s="119"/>
    </row>
    <row r="938">
      <c r="H938" s="119"/>
    </row>
    <row r="939">
      <c r="H939" s="119"/>
    </row>
    <row r="940">
      <c r="H940" s="119"/>
    </row>
    <row r="941">
      <c r="H941" s="119"/>
    </row>
    <row r="942">
      <c r="H942" s="119"/>
    </row>
    <row r="943">
      <c r="H943" s="119"/>
    </row>
    <row r="944">
      <c r="H944" s="119"/>
    </row>
    <row r="945">
      <c r="H945" s="119"/>
    </row>
    <row r="946">
      <c r="H946" s="119"/>
    </row>
    <row r="947">
      <c r="H947" s="119"/>
    </row>
    <row r="948">
      <c r="H948" s="119"/>
    </row>
    <row r="949">
      <c r="H949" s="119"/>
    </row>
    <row r="950">
      <c r="H950" s="119"/>
    </row>
    <row r="951">
      <c r="H951" s="119"/>
    </row>
    <row r="952">
      <c r="H952" s="119"/>
    </row>
    <row r="953">
      <c r="H953" s="119"/>
    </row>
    <row r="954">
      <c r="H954" s="119"/>
    </row>
    <row r="955">
      <c r="H955" s="119"/>
    </row>
    <row r="956">
      <c r="H956" s="119"/>
    </row>
    <row r="957">
      <c r="H957" s="119"/>
    </row>
    <row r="958">
      <c r="H958" s="119"/>
    </row>
    <row r="959">
      <c r="H959" s="119"/>
    </row>
    <row r="960">
      <c r="H960" s="119"/>
    </row>
    <row r="961">
      <c r="H961" s="119"/>
    </row>
    <row r="962">
      <c r="H962" s="119"/>
    </row>
    <row r="963">
      <c r="H963" s="119"/>
    </row>
    <row r="964">
      <c r="H964" s="119"/>
    </row>
    <row r="965">
      <c r="H965" s="119"/>
    </row>
    <row r="966">
      <c r="H966" s="119"/>
    </row>
    <row r="967">
      <c r="H967" s="119"/>
    </row>
    <row r="968">
      <c r="H968" s="119"/>
    </row>
    <row r="969">
      <c r="H969" s="119"/>
    </row>
    <row r="970">
      <c r="H970" s="118"/>
    </row>
    <row r="971">
      <c r="H971" s="118"/>
    </row>
    <row r="972">
      <c r="H972" s="118"/>
    </row>
    <row r="973">
      <c r="H973" s="118"/>
    </row>
    <row r="974">
      <c r="H974" s="118"/>
    </row>
    <row r="975">
      <c r="H975" s="118"/>
    </row>
    <row r="976">
      <c r="H976" s="118"/>
    </row>
    <row r="977">
      <c r="H977" s="118"/>
    </row>
    <row r="978">
      <c r="H978" s="118"/>
    </row>
    <row r="979">
      <c r="H979" s="118"/>
    </row>
    <row r="980">
      <c r="H980" s="118"/>
    </row>
    <row r="981">
      <c r="H981" s="118"/>
    </row>
    <row r="982">
      <c r="H982" s="118"/>
    </row>
    <row r="983">
      <c r="H983" s="118"/>
    </row>
    <row r="984">
      <c r="H984" s="118"/>
    </row>
    <row r="985">
      <c r="H985" s="118"/>
    </row>
    <row r="986">
      <c r="H986" s="118"/>
    </row>
    <row r="987">
      <c r="H987" s="118"/>
    </row>
  </sheetData>
  <autoFilter ref="$A$1:$M$114">
    <filterColumn colId="7">
      <filters>
        <filter val="Peter"/>
      </filters>
    </filterColumn>
    <filterColumn colId="9">
      <filters>
        <filter val="55"/>
        <filter val="33"/>
        <filter val="23"/>
        <filter val="45"/>
        <filter val="35"/>
        <filter val="58"/>
        <filter val="25"/>
        <filter val="48"/>
        <filter val="38"/>
        <filter val="28"/>
        <filter val="50"/>
        <filter val="73"/>
        <filter val="40"/>
        <filter val="63"/>
        <filter val="30"/>
        <filter val="53"/>
      </filters>
    </filterColumn>
  </autoFilter>
  <dataValidations>
    <dataValidation type="list" allowBlank="1" sqref="H108:H111">
      <formula1>"Andy,Leo,Willy,Peter,Vera,Johnson"</formula1>
    </dataValidation>
    <dataValidation type="list" allowBlank="1" sqref="H114">
      <formula1>"Andy,Leo,Willy,Peter,Johnson"</formula1>
    </dataValidation>
    <dataValidation type="list" allowBlank="1" sqref="H2:H18 H20:H84">
      <formula1>"Andy,Leo,Willy,Peter,Johnson,Joanna"</formula1>
    </dataValidation>
    <dataValidation type="list" allowBlank="1" showErrorMessage="1" sqref="G2:G82 G88 G95:G96 G102:G103 G106:G111 G114">
      <formula1>"A.純包租,B.純代管,C.包租+代管,D.自有資產+包租,E.自有資產+代管,F.自有資產,G.仲介+代管,H.其他"</formula1>
    </dataValidation>
    <dataValidation type="list" allowBlank="1" sqref="H105 H107">
      <formula1>"Andy,Leo,Mia,Peter,Vera,Johnson,Willy"</formula1>
    </dataValidation>
    <dataValidation type="list" allowBlank="1" showErrorMessage="1" sqref="B108:B111 B114">
      <formula1>"已完成,移交中,已通過待移交,免移交"</formula1>
    </dataValidation>
    <dataValidation type="list" allowBlank="1" sqref="H86:H89 G90:H92 H93 G97:H97 H112 G113:H113 H115:H969">
      <formula1>"Andy,Leo,Mia,Peter,Vera"</formula1>
    </dataValidation>
    <dataValidation type="list" allowBlank="1" sqref="H19 H85 H94:H96 H98:H104 H106">
      <formula1>"Andy,Leo,Mia,Peter,Vera,Johnson,Willy"</formula1>
    </dataValidation>
    <dataValidation type="list" allowBlank="1" showErrorMessage="1" sqref="F2:F82">
      <formula1>"客戶類型,A. 共生公寓,B. 包租代管,B. 包租代管-裝修,C. 旅館 ,D.仲介-連鎖,D. 仲介-地方,D. 仲介-跨國,E. 共享辦公室,F. 個人資產,G. 政府單位,H.保全樓管,I. 資產公司,J. 建設公司,K.其他"</formula1>
    </dataValidation>
  </dataValidations>
  <drawing r:id="rId1"/>
</worksheet>
</file>